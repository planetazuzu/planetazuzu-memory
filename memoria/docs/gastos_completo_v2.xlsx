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📅 Calendario Pagos" sheetId="1" state="visible" r:id="rId1"/>
    <sheet xmlns:r="http://schemas.openxmlformats.org/officeDocument/2006/relationships" name="💳 Gastos Tarjeta" sheetId="2" state="visible" r:id="rId2"/>
    <sheet xmlns:r="http://schemas.openxmlformats.org/officeDocument/2006/relationships" name="📊 Resumen Mensual" sheetId="3" state="visible" r:id="rId3"/>
    <sheet xmlns:r="http://schemas.openxmlformats.org/officeDocument/2006/relationships" name="✅ Tracker Mensual" sheetId="4" state="visible" r:id="rId4"/>
    <sheet xmlns:r="http://schemas.openxmlformats.org/officeDocument/2006/relationships" name="📧 Google Sheets - Guía" sheetId="5" state="visible" r:id="rId5"/>
    <sheet xmlns:r="http://schemas.openxmlformats.org/officeDocument/2006/relationships" name="📊 Evolución Deuda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.00&quot; €&quot;;[RED]\(#,##0.00&quot; €)&quot;;\-"/>
    <numFmt numFmtId="165" formatCode="dd/mm/yyyy"/>
    <numFmt numFmtId="166" formatCode="#,##0.00&quot; €&quot;"/>
    <numFmt numFmtId="167" formatCode="0.0%"/>
  </numFmts>
  <fonts count="4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444444"/>
      <sz val="9"/>
    </font>
    <font>
      <name val="Arial"/>
      <charset val="1"/>
      <family val="0"/>
      <b val="1"/>
      <color rgb="FF2E75B6"/>
      <sz val="10"/>
    </font>
    <font>
      <name val="Arial"/>
      <charset val="1"/>
      <family val="0"/>
      <color rgb="FFC00000"/>
      <sz val="10"/>
    </font>
    <font>
      <name val="Arial"/>
      <charset val="1"/>
      <family val="0"/>
      <b val="1"/>
      <color rgb="FFED7D31"/>
      <sz val="10"/>
    </font>
    <font>
      <name val="Arial"/>
      <charset val="1"/>
      <family val="0"/>
      <b val="1"/>
      <color rgb="FF70AD47"/>
      <sz val="10"/>
    </font>
    <font>
      <name val="Arial"/>
      <charset val="1"/>
      <family val="0"/>
      <b val="1"/>
      <color rgb="FF7030A0"/>
      <sz val="10"/>
    </font>
    <font>
      <name val="Arial"/>
      <charset val="1"/>
      <family val="0"/>
      <b val="1"/>
      <color rgb="FFFF0066"/>
      <sz val="10"/>
    </font>
    <font>
      <name val="Arial"/>
      <charset val="1"/>
      <family val="0"/>
      <color rgb="FF999999"/>
      <sz val="10"/>
    </font>
    <font>
      <name val="Arial"/>
      <charset val="1"/>
      <family val="0"/>
      <b val="1"/>
      <color rgb="FFC55A11"/>
      <sz val="10"/>
    </font>
    <font>
      <name val="Arial"/>
      <charset val="1"/>
      <family val="0"/>
      <b val="1"/>
      <color rgb="FF00B0F0"/>
      <sz val="10"/>
    </font>
    <font>
      <name val="Arial"/>
      <charset val="1"/>
      <family val="0"/>
      <b val="1"/>
      <color rgb="FF833C00"/>
      <sz val="10"/>
    </font>
    <font>
      <name val="Arial"/>
      <charset val="1"/>
      <family val="0"/>
      <b val="1"/>
      <color rgb="FFFFC000"/>
      <sz val="10"/>
    </font>
    <font>
      <name val="Arial"/>
      <charset val="1"/>
      <family val="0"/>
      <b val="1"/>
      <color rgb="FF80808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276221"/>
      <sz val="10"/>
    </font>
    <font>
      <name val="Arial"/>
      <charset val="1"/>
      <family val="0"/>
      <color rgb="FF276221"/>
      <sz val="10"/>
    </font>
    <font>
      <name val="Arial"/>
      <charset val="1"/>
      <family val="0"/>
      <b val="1"/>
      <color rgb="FF375623"/>
      <sz val="10"/>
    </font>
    <font>
      <name val="Arial"/>
      <charset val="1"/>
      <family val="0"/>
      <color rgb="FF375623"/>
      <sz val="10"/>
    </font>
    <font>
      <name val="Arial"/>
      <charset val="1"/>
      <family val="0"/>
      <b val="1"/>
      <color rgb="FF1E5631"/>
      <sz val="10"/>
    </font>
    <font>
      <name val="Arial"/>
      <charset val="1"/>
      <family val="0"/>
      <color rgb="FF1E5631"/>
      <sz val="10"/>
    </font>
    <font>
      <name val="Arial"/>
      <charset val="1"/>
      <family val="0"/>
      <b val="1"/>
      <color rgb="FF2E7D32"/>
      <sz val="10"/>
    </font>
    <font>
      <name val="Arial"/>
      <charset val="1"/>
      <family val="0"/>
      <color rgb="FF2E7D32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4E79"/>
      <sz val="13"/>
    </font>
    <font>
      <name val="Arial"/>
      <charset val="1"/>
      <family val="0"/>
      <b val="1"/>
      <color rgb="FF9C0006"/>
      <sz val="10"/>
    </font>
    <font>
      <name val="Arial"/>
      <charset val="1"/>
      <family val="0"/>
      <b val="1"/>
      <color rgb="FF7F6000"/>
      <sz val="10"/>
    </font>
    <font>
      <name val="Arial"/>
      <charset val="1"/>
      <family val="0"/>
      <i val="1"/>
      <sz val="10"/>
    </font>
    <font>
      <name val="Arial"/>
      <charset val="1"/>
      <family val="0"/>
      <b val="1"/>
      <color rgb="FF1F4E79"/>
      <sz val="10"/>
    </font>
    <font>
      <name val="Courier New"/>
      <charset val="1"/>
      <family val="0"/>
      <color rgb="FF1F3864"/>
      <sz val="9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color rgb="FF1F3864"/>
      <sz val="10"/>
    </font>
    <font>
      <name val="Calibri"/>
      <family val="2"/>
      <b val="1"/>
      <color rgb="FF000000"/>
      <sz val="10"/>
    </font>
  </fonts>
  <fills count="33">
    <fill>
      <patternFill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D7E4F0"/>
        <bgColor rgb="FFDDEEFF"/>
      </patternFill>
    </fill>
    <fill>
      <patternFill patternType="solid">
        <fgColor rgb="FFFFF2CC"/>
        <bgColor rgb="FFFDEBD0"/>
      </patternFill>
    </fill>
    <fill>
      <patternFill patternType="solid">
        <fgColor rgb="FFFFFFFF"/>
        <bgColor rgb="FFF9F9F9"/>
      </patternFill>
    </fill>
    <fill>
      <patternFill patternType="solid">
        <fgColor rgb="FF1F3864"/>
        <bgColor rgb="FF1F4E79"/>
      </patternFill>
    </fill>
    <fill>
      <patternFill patternType="solid">
        <fgColor rgb="FFEBF3FB"/>
        <bgColor rgb="FFF0F4FF"/>
      </patternFill>
    </fill>
    <fill>
      <patternFill patternType="solid">
        <fgColor rgb="FF2E76B5"/>
        <bgColor rgb="FF406B9D"/>
      </patternFill>
    </fill>
    <fill>
      <patternFill patternType="solid">
        <fgColor rgb="FFDDEEFF"/>
        <bgColor rgb="FFE5F7FF"/>
      </patternFill>
    </fill>
    <fill>
      <patternFill patternType="solid">
        <fgColor rgb="FFFFF0E5"/>
        <bgColor rgb="FFFFF9E5"/>
      </patternFill>
    </fill>
    <fill>
      <patternFill patternType="solid">
        <fgColor rgb="FFEBF7E0"/>
        <bgColor rgb="FFF0FFF0"/>
      </patternFill>
    </fill>
    <fill>
      <patternFill patternType="solid">
        <fgColor rgb="FFF0E5FF"/>
        <bgColor rgb="FFFFE5F0"/>
      </patternFill>
    </fill>
    <fill>
      <patternFill patternType="solid">
        <fgColor rgb="FFFFE5F0"/>
        <bgColor rgb="FFFFF0E5"/>
      </patternFill>
    </fill>
    <fill>
      <patternFill patternType="solid">
        <fgColor rgb="FFF9F9F9"/>
        <bgColor rgb="FFF5F9FF"/>
      </patternFill>
    </fill>
    <fill>
      <patternFill patternType="solid">
        <fgColor rgb="FFFDEBD0"/>
        <bgColor rgb="FFFFF2CC"/>
      </patternFill>
    </fill>
    <fill>
      <patternFill patternType="solid">
        <fgColor rgb="FFE5F7FF"/>
        <bgColor rgb="FFEBF3FB"/>
      </patternFill>
    </fill>
    <fill>
      <patternFill patternType="solid">
        <fgColor rgb="FFFFF9E5"/>
        <bgColor rgb="FFFFF0E5"/>
      </patternFill>
    </fill>
    <fill>
      <patternFill patternType="solid">
        <fgColor rgb="FFF5F5F5"/>
        <bgColor rgb="FFF9F9F9"/>
      </patternFill>
    </fill>
    <fill>
      <patternFill patternType="solid">
        <fgColor rgb="FF1E5631"/>
        <bgColor rgb="FF276221"/>
      </patternFill>
    </fill>
    <fill>
      <patternFill patternType="solid">
        <fgColor rgb="FF375623"/>
        <bgColor rgb="FF276221"/>
      </patternFill>
    </fill>
    <fill>
      <patternFill patternType="solid">
        <fgColor rgb="FFC6EFCE"/>
        <bgColor rgb="FFD9F7BE"/>
      </patternFill>
    </fill>
    <fill>
      <patternFill patternType="solid">
        <fgColor rgb="FFD9F7BE"/>
        <bgColor rgb="FFC6EFCE"/>
      </patternFill>
    </fill>
    <fill>
      <patternFill patternType="solid">
        <fgColor rgb="FFF0FFF0"/>
        <bgColor rgb="FFF5F9FF"/>
      </patternFill>
    </fill>
    <fill>
      <patternFill patternType="solid">
        <fgColor rgb="FF4A4A4A"/>
        <bgColor rgb="FF444444"/>
      </patternFill>
    </fill>
    <fill>
      <patternFill patternType="solid">
        <fgColor rgb="FFF5F9FF"/>
        <bgColor rgb="FFF2F8FF"/>
      </patternFill>
    </fill>
    <fill>
      <patternFill patternType="mediumGray">
        <fgColor rgb="FF24AADB"/>
        <bgColor rgb="FF8DAED1"/>
      </patternFill>
    </fill>
    <fill>
      <patternFill patternType="solid">
        <fgColor rgb="FF7BAB4B"/>
        <bgColor rgb="FF838383"/>
      </patternFill>
    </fill>
    <fill>
      <patternFill patternType="solid">
        <fgColor rgb="FFF08134"/>
        <bgColor rgb="FFC56619"/>
      </patternFill>
    </fill>
    <fill>
      <patternFill patternType="solid">
        <fgColor rgb="FF7030A0"/>
        <bgColor rgb="FF5E536B"/>
      </patternFill>
    </fill>
    <fill>
      <patternFill patternType="solid">
        <fgColor rgb="FFFFC9C3"/>
        <bgColor rgb="FFFFE5F0"/>
      </patternFill>
    </fill>
    <fill>
      <patternFill patternType="solid">
        <fgColor rgb="FFF0F4FF"/>
        <bgColor rgb="FFEBF3FB"/>
      </patternFill>
    </fill>
    <fill>
      <patternFill patternType="solid">
        <fgColor rgb="FFF2F8FF"/>
        <bgColor rgb="FFF5F9FF"/>
      </patternFill>
    </fill>
  </fills>
  <borders count="7">
    <border>
      <left/>
      <right/>
      <top/>
      <bottom/>
      <diagonal/>
    </border>
    <border>
      <left style="thin">
        <color rgb="FFC3BFC0"/>
      </left>
      <right style="thin">
        <color rgb="FFC3BFC0"/>
      </right>
      <top style="thin">
        <color rgb="FFC3BFC0"/>
      </top>
      <bottom style="thin">
        <color rgb="FFC3BFC0"/>
      </bottom>
      <diagonal/>
    </border>
    <border>
      <left style="thin"/>
      <right style="thin"/>
      <top style="thin"/>
      <bottom style="thin"/>
      <diagonal/>
    </border>
    <border>
      <left/>
      <right/>
      <top style="thin">
        <color rgb="FFC3BFC0"/>
      </top>
      <bottom/>
      <diagonal/>
    </border>
    <border>
      <left/>
      <right style="thin">
        <color rgb="FFC3BFC0"/>
      </right>
      <top style="thin">
        <color rgb="FFC3BFC0"/>
      </top>
      <bottom/>
      <diagonal/>
    </border>
    <border>
      <left/>
      <right/>
      <top style="thin">
        <color rgb="FFC3BFC0"/>
      </top>
      <bottom style="thin">
        <color rgb="FFC3BFC0"/>
      </bottom>
      <diagonal/>
    </border>
    <border>
      <left/>
      <right style="thin">
        <color rgb="FFC3BFC0"/>
      </right>
      <top style="thin">
        <color rgb="FFC3BFC0"/>
      </top>
      <bottom style="thin">
        <color rgb="FFC3BFC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right" vertical="center"/>
    </xf>
    <xf numFmtId="0" fontId="10" fillId="6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 wrapText="1"/>
    </xf>
    <xf numFmtId="166" fontId="13" fillId="9" borderId="2" applyAlignment="1" pivotButton="0" quotePrefix="0" xfId="0">
      <alignment horizontal="center" vertical="center" wrapText="1"/>
    </xf>
    <xf numFmtId="166" fontId="8" fillId="9" borderId="2" applyAlignment="1" pivotButton="0" quotePrefix="0" xfId="0">
      <alignment horizontal="center" vertical="center" wrapText="1"/>
    </xf>
    <xf numFmtId="167" fontId="12" fillId="9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left" vertical="center" wrapText="1"/>
    </xf>
    <xf numFmtId="166" fontId="13" fillId="10" borderId="2" applyAlignment="1" pivotButton="0" quotePrefix="0" xfId="0">
      <alignment horizontal="center" vertical="center" wrapText="1"/>
    </xf>
    <xf numFmtId="166" fontId="8" fillId="10" borderId="2" applyAlignment="1" pivotButton="0" quotePrefix="0" xfId="0">
      <alignment horizontal="center" vertical="center" wrapText="1"/>
    </xf>
    <xf numFmtId="167" fontId="14" fillId="10" borderId="2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left" vertical="center" wrapText="1"/>
    </xf>
    <xf numFmtId="166" fontId="13" fillId="11" borderId="2" applyAlignment="1" pivotButton="0" quotePrefix="0" xfId="0">
      <alignment horizontal="center" vertical="center" wrapText="1"/>
    </xf>
    <xf numFmtId="166" fontId="8" fillId="11" borderId="2" applyAlignment="1" pivotButton="0" quotePrefix="0" xfId="0">
      <alignment horizontal="center" vertical="center" wrapText="1"/>
    </xf>
    <xf numFmtId="167" fontId="15" fillId="11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left" vertical="center" wrapText="1"/>
    </xf>
    <xf numFmtId="166" fontId="13" fillId="12" borderId="2" applyAlignment="1" pivotButton="0" quotePrefix="0" xfId="0">
      <alignment horizontal="center" vertical="center" wrapText="1"/>
    </xf>
    <xf numFmtId="166" fontId="8" fillId="12" borderId="2" applyAlignment="1" pivotButton="0" quotePrefix="0" xfId="0">
      <alignment horizontal="center" vertical="center" wrapText="1"/>
    </xf>
    <xf numFmtId="167" fontId="16" fillId="12" borderId="2" applyAlignment="1" pivotButton="0" quotePrefix="0" xfId="0">
      <alignment horizontal="center" vertical="center" wrapText="1"/>
    </xf>
    <xf numFmtId="0" fontId="17" fillId="13" borderId="2" applyAlignment="1" pivotButton="0" quotePrefix="0" xfId="0">
      <alignment horizontal="left" vertical="center" wrapText="1"/>
    </xf>
    <xf numFmtId="166" fontId="13" fillId="13" borderId="2" applyAlignment="1" pivotButton="0" quotePrefix="0" xfId="0">
      <alignment horizontal="center" vertical="center" wrapText="1"/>
    </xf>
    <xf numFmtId="166" fontId="18" fillId="14" borderId="2" applyAlignment="1" pivotButton="0" quotePrefix="0" xfId="0">
      <alignment horizontal="center" vertical="center" wrapText="1"/>
    </xf>
    <xf numFmtId="166" fontId="8" fillId="13" borderId="2" applyAlignment="1" pivotButton="0" quotePrefix="0" xfId="0">
      <alignment horizontal="center" vertical="center" wrapText="1"/>
    </xf>
    <xf numFmtId="167" fontId="17" fillId="13" borderId="2" applyAlignment="1" pivotButton="0" quotePrefix="0" xfId="0">
      <alignment horizontal="center" vertical="center" wrapText="1"/>
    </xf>
    <xf numFmtId="0" fontId="19" fillId="15" borderId="2" applyAlignment="1" pivotButton="0" quotePrefix="0" xfId="0">
      <alignment horizontal="left" vertical="center" wrapText="1"/>
    </xf>
    <xf numFmtId="166" fontId="13" fillId="15" borderId="2" applyAlignment="1" pivotButton="0" quotePrefix="0" xfId="0">
      <alignment horizontal="center" vertical="center" wrapText="1"/>
    </xf>
    <xf numFmtId="166" fontId="8" fillId="15" borderId="2" applyAlignment="1" pivotButton="0" quotePrefix="0" xfId="0">
      <alignment horizontal="center" vertical="center" wrapText="1"/>
    </xf>
    <xf numFmtId="167" fontId="19" fillId="15" borderId="2" applyAlignment="1" pivotButton="0" quotePrefix="0" xfId="0">
      <alignment horizontal="center" vertical="center" wrapText="1"/>
    </xf>
    <xf numFmtId="0" fontId="20" fillId="16" borderId="2" applyAlignment="1" pivotButton="0" quotePrefix="0" xfId="0">
      <alignment horizontal="left" vertical="center" wrapText="1"/>
    </xf>
    <xf numFmtId="166" fontId="13" fillId="16" borderId="2" applyAlignment="1" pivotButton="0" quotePrefix="0" xfId="0">
      <alignment horizontal="center" vertical="center" wrapText="1"/>
    </xf>
    <xf numFmtId="166" fontId="8" fillId="16" borderId="2" applyAlignment="1" pivotButton="0" quotePrefix="0" xfId="0">
      <alignment horizontal="center" vertical="center" wrapText="1"/>
    </xf>
    <xf numFmtId="167" fontId="20" fillId="16" borderId="2" applyAlignment="1" pivotButton="0" quotePrefix="0" xfId="0">
      <alignment horizontal="center" vertical="center" wrapText="1"/>
    </xf>
    <xf numFmtId="0" fontId="21" fillId="15" borderId="2" applyAlignment="1" pivotButton="0" quotePrefix="0" xfId="0">
      <alignment horizontal="left" vertical="center" wrapText="1"/>
    </xf>
    <xf numFmtId="167" fontId="21" fillId="15" borderId="2" applyAlignment="1" pivotButton="0" quotePrefix="0" xfId="0">
      <alignment horizontal="center" vertical="center" wrapText="1"/>
    </xf>
    <xf numFmtId="0" fontId="22" fillId="17" borderId="2" applyAlignment="1" pivotButton="0" quotePrefix="0" xfId="0">
      <alignment horizontal="left" vertical="center" wrapText="1"/>
    </xf>
    <xf numFmtId="166" fontId="13" fillId="17" borderId="2" applyAlignment="1" pivotButton="0" quotePrefix="0" xfId="0">
      <alignment horizontal="center" vertical="center" wrapText="1"/>
    </xf>
    <xf numFmtId="166" fontId="8" fillId="17" borderId="2" applyAlignment="1" pivotButton="0" quotePrefix="0" xfId="0">
      <alignment horizontal="center" vertical="center" wrapText="1"/>
    </xf>
    <xf numFmtId="167" fontId="22" fillId="17" borderId="2" applyAlignment="1" pivotButton="0" quotePrefix="0" xfId="0">
      <alignment horizontal="center" vertical="center" wrapText="1"/>
    </xf>
    <xf numFmtId="0" fontId="23" fillId="18" borderId="2" applyAlignment="1" pivotButton="0" quotePrefix="0" xfId="0">
      <alignment horizontal="left" vertical="center" wrapText="1"/>
    </xf>
    <xf numFmtId="166" fontId="13" fillId="18" borderId="2" applyAlignment="1" pivotButton="0" quotePrefix="0" xfId="0">
      <alignment horizontal="center" vertical="center" wrapText="1"/>
    </xf>
    <xf numFmtId="166" fontId="8" fillId="18" borderId="2" applyAlignment="1" pivotButton="0" quotePrefix="0" xfId="0">
      <alignment horizontal="center" vertical="center" wrapText="1"/>
    </xf>
    <xf numFmtId="167" fontId="23" fillId="18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166" fontId="9" fillId="8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general" vertical="bottom"/>
    </xf>
    <xf numFmtId="0" fontId="24" fillId="6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24" fillId="19" borderId="0" applyAlignment="1" pivotButton="0" quotePrefix="0" xfId="0">
      <alignment horizontal="center" vertical="center" wrapText="1"/>
    </xf>
    <xf numFmtId="0" fontId="6" fillId="19" borderId="0" applyAlignment="1" pivotButton="0" quotePrefix="0" xfId="0">
      <alignment horizontal="center" vertical="center" wrapText="1"/>
    </xf>
    <xf numFmtId="0" fontId="6" fillId="20" borderId="0" applyAlignment="1" pivotButton="0" quotePrefix="0" xfId="0">
      <alignment horizontal="center" vertical="center" wrapText="1"/>
    </xf>
    <xf numFmtId="0" fontId="25" fillId="21" borderId="2" applyAlignment="1" pivotButton="0" quotePrefix="0" xfId="0">
      <alignment horizontal="left" vertical="center" wrapText="1"/>
    </xf>
    <xf numFmtId="166" fontId="26" fillId="21" borderId="2" applyAlignment="1" pivotButton="0" quotePrefix="0" xfId="0">
      <alignment horizontal="center" vertical="center" wrapText="1"/>
    </xf>
    <xf numFmtId="166" fontId="25" fillId="21" borderId="2" applyAlignment="1" pivotButton="0" quotePrefix="0" xfId="0">
      <alignment horizontal="center" vertical="center" wrapText="1"/>
    </xf>
    <xf numFmtId="0" fontId="27" fillId="22" borderId="2" applyAlignment="1" pivotButton="0" quotePrefix="0" xfId="0">
      <alignment horizontal="left" vertical="center" wrapText="1"/>
    </xf>
    <xf numFmtId="166" fontId="28" fillId="22" borderId="2" applyAlignment="1" pivotButton="0" quotePrefix="0" xfId="0">
      <alignment horizontal="center" vertical="center" wrapText="1"/>
    </xf>
    <xf numFmtId="166" fontId="27" fillId="22" borderId="2" applyAlignment="1" pivotButton="0" quotePrefix="0" xfId="0">
      <alignment horizontal="center" vertical="center" wrapText="1"/>
    </xf>
    <xf numFmtId="0" fontId="29" fillId="11" borderId="2" applyAlignment="1" pivotButton="0" quotePrefix="0" xfId="0">
      <alignment horizontal="left" vertical="center" wrapText="1"/>
    </xf>
    <xf numFmtId="166" fontId="30" fillId="11" borderId="2" applyAlignment="1" pivotButton="0" quotePrefix="0" xfId="0">
      <alignment horizontal="center" vertical="center" wrapText="1"/>
    </xf>
    <xf numFmtId="166" fontId="29" fillId="11" borderId="2" applyAlignment="1" pivotButton="0" quotePrefix="0" xfId="0">
      <alignment horizontal="center" vertical="center" wrapText="1"/>
    </xf>
    <xf numFmtId="0" fontId="31" fillId="23" borderId="2" applyAlignment="1" pivotButton="0" quotePrefix="0" xfId="0">
      <alignment horizontal="left" vertical="center" wrapText="1"/>
    </xf>
    <xf numFmtId="166" fontId="32" fillId="23" borderId="2" applyAlignment="1" pivotButton="0" quotePrefix="0" xfId="0">
      <alignment horizontal="center" vertical="center" wrapText="1"/>
    </xf>
    <xf numFmtId="166" fontId="31" fillId="23" borderId="2" applyAlignment="1" pivotButton="0" quotePrefix="0" xfId="0">
      <alignment horizontal="center" vertical="center" wrapText="1"/>
    </xf>
    <xf numFmtId="0" fontId="9" fillId="19" borderId="2" applyAlignment="1" pivotButton="0" quotePrefix="0" xfId="0">
      <alignment horizontal="center" vertical="center" wrapText="1"/>
    </xf>
    <xf numFmtId="166" fontId="9" fillId="20" borderId="2" applyAlignment="1" pivotButton="0" quotePrefix="0" xfId="0">
      <alignment horizontal="center" vertical="center" wrapText="1"/>
    </xf>
    <xf numFmtId="0" fontId="9" fillId="24" borderId="2" applyAlignment="1" pivotButton="0" quotePrefix="0" xfId="0">
      <alignment horizontal="center" vertical="center" wrapText="1"/>
    </xf>
    <xf numFmtId="166" fontId="9" fillId="24" borderId="2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166" fontId="35" fillId="0" borderId="2" applyAlignment="1" pivotButton="0" quotePrefix="0" xfId="0">
      <alignment horizontal="center" vertical="center"/>
    </xf>
    <xf numFmtId="166" fontId="7" fillId="25" borderId="2" applyAlignment="1" pivotButton="0" quotePrefix="0" xfId="0">
      <alignment horizontal="center" vertical="center"/>
    </xf>
    <xf numFmtId="166" fontId="7" fillId="5" borderId="2" applyAlignment="1" pivotButton="0" quotePrefix="0" xfId="0">
      <alignment horizontal="center" vertical="center"/>
    </xf>
    <xf numFmtId="0" fontId="36" fillId="3" borderId="2" applyAlignment="1" pivotButton="0" quotePrefix="0" xfId="0">
      <alignment horizontal="left" vertical="center"/>
    </xf>
    <xf numFmtId="166" fontId="36" fillId="3" borderId="2" applyAlignment="1" pivotButton="0" quotePrefix="0" xfId="0">
      <alignment horizontal="center" vertical="bottom"/>
    </xf>
    <xf numFmtId="0" fontId="6" fillId="8" borderId="0" applyAlignment="1" pivotButton="0" quotePrefix="0" xfId="0">
      <alignment horizontal="left" vertical="center"/>
    </xf>
    <xf numFmtId="0" fontId="6" fillId="26" borderId="0" applyAlignment="1" pivotButton="0" quotePrefix="0" xfId="0">
      <alignment horizontal="left" vertical="center"/>
    </xf>
    <xf numFmtId="166" fontId="36" fillId="3" borderId="0" applyAlignment="1" pivotButton="0" quotePrefix="0" xfId="0">
      <alignment horizontal="center" vertical="bottom"/>
    </xf>
    <xf numFmtId="0" fontId="6" fillId="27" borderId="0" applyAlignment="1" pivotButton="0" quotePrefix="0" xfId="0">
      <alignment horizontal="left" vertical="center"/>
    </xf>
    <xf numFmtId="0" fontId="6" fillId="28" borderId="0" applyAlignment="1" pivotButton="0" quotePrefix="0" xfId="0">
      <alignment horizontal="left" vertical="center"/>
    </xf>
    <xf numFmtId="0" fontId="6" fillId="29" borderId="0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166" fontId="9" fillId="8" borderId="2" applyAlignment="1" pivotButton="0" quotePrefix="0" xfId="0">
      <alignment horizontal="center" vertical="bottom"/>
    </xf>
    <xf numFmtId="0" fontId="37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25" fillId="21" borderId="2" applyAlignment="1" pivotButton="0" quotePrefix="0" xfId="0">
      <alignment horizontal="center" vertical="center"/>
    </xf>
    <xf numFmtId="0" fontId="38" fillId="3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6" fontId="35" fillId="9" borderId="0" applyAlignment="1" pivotButton="0" quotePrefix="0" xfId="0">
      <alignment horizontal="center" vertical="center"/>
    </xf>
    <xf numFmtId="0" fontId="39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bottom"/>
    </xf>
    <xf numFmtId="166" fontId="6" fillId="8" borderId="2" applyAlignment="1" pivotButton="0" quotePrefix="0" xfId="0">
      <alignment horizontal="center" vertical="bottom"/>
    </xf>
    <xf numFmtId="0" fontId="40" fillId="0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0" fontId="4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4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9" fillId="20" borderId="0" applyAlignment="1" pivotButton="0" quotePrefix="0" xfId="0">
      <alignment horizontal="left" vertical="center"/>
    </xf>
    <xf numFmtId="0" fontId="42" fillId="31" borderId="1" applyAlignment="1" pivotButton="0" quotePrefix="0" xfId="0">
      <alignment horizontal="left" vertical="center"/>
    </xf>
    <xf numFmtId="0" fontId="24" fillId="8" borderId="0" applyAlignment="1" pivotButton="0" quotePrefix="0" xfId="0">
      <alignment horizontal="center" vertical="center" wrapText="1"/>
    </xf>
    <xf numFmtId="0" fontId="43" fillId="7" borderId="0" applyAlignment="1" pivotButton="0" quotePrefix="0" xfId="0">
      <alignment horizontal="center" vertical="center" wrapText="1"/>
    </xf>
    <xf numFmtId="0" fontId="44" fillId="3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166" fontId="35" fillId="9" borderId="2" applyAlignment="1" pivotButton="0" quotePrefix="0" xfId="0">
      <alignment horizontal="center" vertical="center" wrapText="1"/>
    </xf>
    <xf numFmtId="10" fontId="35" fillId="9" borderId="2" applyAlignment="1" pivotButton="0" quotePrefix="0" xfId="0">
      <alignment horizontal="center" vertical="center" wrapText="1"/>
    </xf>
    <xf numFmtId="0" fontId="7" fillId="32" borderId="2" applyAlignment="1" pivotButton="0" quotePrefix="0" xfId="0">
      <alignment horizontal="left" vertical="center" wrapText="1"/>
    </xf>
    <xf numFmtId="166" fontId="7" fillId="32" borderId="2" applyAlignment="1" pivotButton="0" quotePrefix="0" xfId="0">
      <alignment horizontal="center" vertical="bottom"/>
    </xf>
    <xf numFmtId="0" fontId="7" fillId="5" borderId="2" applyAlignment="1" pivotButton="0" quotePrefix="0" xfId="0">
      <alignment horizontal="left" vertical="center" wrapText="1"/>
    </xf>
    <xf numFmtId="166" fontId="0" fillId="0" borderId="2" applyAlignment="1" pivotButton="0" quotePrefix="0" xfId="0">
      <alignment horizontal="center" vertical="bottom"/>
    </xf>
    <xf numFmtId="166" fontId="7" fillId="5" borderId="2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64" fontId="9" fillId="2" borderId="1" applyAlignment="1" pivotButton="0" quotePrefix="0" xfId="0">
      <alignment horizontal="right" vertical="center"/>
    </xf>
    <xf numFmtId="0" fontId="10" fillId="6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 wrapText="1"/>
    </xf>
    <xf numFmtId="166" fontId="13" fillId="9" borderId="2" applyAlignment="1" pivotButton="0" quotePrefix="0" xfId="0">
      <alignment horizontal="center" vertical="center" wrapText="1"/>
    </xf>
    <xf numFmtId="166" fontId="8" fillId="9" borderId="2" applyAlignment="1" pivotButton="0" quotePrefix="0" xfId="0">
      <alignment horizontal="center" vertical="center" wrapText="1"/>
    </xf>
    <xf numFmtId="167" fontId="12" fillId="9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left" vertical="center" wrapText="1"/>
    </xf>
    <xf numFmtId="166" fontId="13" fillId="10" borderId="2" applyAlignment="1" pivotButton="0" quotePrefix="0" xfId="0">
      <alignment horizontal="center" vertical="center" wrapText="1"/>
    </xf>
    <xf numFmtId="166" fontId="8" fillId="10" borderId="2" applyAlignment="1" pivotButton="0" quotePrefix="0" xfId="0">
      <alignment horizontal="center" vertical="center" wrapText="1"/>
    </xf>
    <xf numFmtId="167" fontId="14" fillId="10" borderId="2" applyAlignment="1" pivotButton="0" quotePrefix="0" xfId="0">
      <alignment horizontal="center" vertical="center" wrapText="1"/>
    </xf>
    <xf numFmtId="0" fontId="15" fillId="11" borderId="2" applyAlignment="1" pivotButton="0" quotePrefix="0" xfId="0">
      <alignment horizontal="left" vertical="center" wrapText="1"/>
    </xf>
    <xf numFmtId="166" fontId="13" fillId="11" borderId="2" applyAlignment="1" pivotButton="0" quotePrefix="0" xfId="0">
      <alignment horizontal="center" vertical="center" wrapText="1"/>
    </xf>
    <xf numFmtId="166" fontId="8" fillId="11" borderId="2" applyAlignment="1" pivotButton="0" quotePrefix="0" xfId="0">
      <alignment horizontal="center" vertical="center" wrapText="1"/>
    </xf>
    <xf numFmtId="167" fontId="15" fillId="11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horizontal="left" vertical="center" wrapText="1"/>
    </xf>
    <xf numFmtId="166" fontId="13" fillId="12" borderId="2" applyAlignment="1" pivotButton="0" quotePrefix="0" xfId="0">
      <alignment horizontal="center" vertical="center" wrapText="1"/>
    </xf>
    <xf numFmtId="166" fontId="8" fillId="12" borderId="2" applyAlignment="1" pivotButton="0" quotePrefix="0" xfId="0">
      <alignment horizontal="center" vertical="center" wrapText="1"/>
    </xf>
    <xf numFmtId="167" fontId="16" fillId="12" borderId="2" applyAlignment="1" pivotButton="0" quotePrefix="0" xfId="0">
      <alignment horizontal="center" vertical="center" wrapText="1"/>
    </xf>
    <xf numFmtId="0" fontId="17" fillId="13" borderId="2" applyAlignment="1" pivotButton="0" quotePrefix="0" xfId="0">
      <alignment horizontal="left" vertical="center" wrapText="1"/>
    </xf>
    <xf numFmtId="166" fontId="13" fillId="13" borderId="2" applyAlignment="1" pivotButton="0" quotePrefix="0" xfId="0">
      <alignment horizontal="center" vertical="center" wrapText="1"/>
    </xf>
    <xf numFmtId="166" fontId="18" fillId="14" borderId="2" applyAlignment="1" pivotButton="0" quotePrefix="0" xfId="0">
      <alignment horizontal="center" vertical="center" wrapText="1"/>
    </xf>
    <xf numFmtId="166" fontId="8" fillId="13" borderId="2" applyAlignment="1" pivotButton="0" quotePrefix="0" xfId="0">
      <alignment horizontal="center" vertical="center" wrapText="1"/>
    </xf>
    <xf numFmtId="167" fontId="17" fillId="13" borderId="2" applyAlignment="1" pivotButton="0" quotePrefix="0" xfId="0">
      <alignment horizontal="center" vertical="center" wrapText="1"/>
    </xf>
    <xf numFmtId="0" fontId="19" fillId="15" borderId="2" applyAlignment="1" pivotButton="0" quotePrefix="0" xfId="0">
      <alignment horizontal="left" vertical="center" wrapText="1"/>
    </xf>
    <xf numFmtId="166" fontId="13" fillId="15" borderId="2" applyAlignment="1" pivotButton="0" quotePrefix="0" xfId="0">
      <alignment horizontal="center" vertical="center" wrapText="1"/>
    </xf>
    <xf numFmtId="166" fontId="8" fillId="15" borderId="2" applyAlignment="1" pivotButton="0" quotePrefix="0" xfId="0">
      <alignment horizontal="center" vertical="center" wrapText="1"/>
    </xf>
    <xf numFmtId="167" fontId="19" fillId="15" borderId="2" applyAlignment="1" pivotButton="0" quotePrefix="0" xfId="0">
      <alignment horizontal="center" vertical="center" wrapText="1"/>
    </xf>
    <xf numFmtId="0" fontId="20" fillId="16" borderId="2" applyAlignment="1" pivotButton="0" quotePrefix="0" xfId="0">
      <alignment horizontal="left" vertical="center" wrapText="1"/>
    </xf>
    <xf numFmtId="166" fontId="13" fillId="16" borderId="2" applyAlignment="1" pivotButton="0" quotePrefix="0" xfId="0">
      <alignment horizontal="center" vertical="center" wrapText="1"/>
    </xf>
    <xf numFmtId="166" fontId="8" fillId="16" borderId="2" applyAlignment="1" pivotButton="0" quotePrefix="0" xfId="0">
      <alignment horizontal="center" vertical="center" wrapText="1"/>
    </xf>
    <xf numFmtId="167" fontId="20" fillId="16" borderId="2" applyAlignment="1" pivotButton="0" quotePrefix="0" xfId="0">
      <alignment horizontal="center" vertical="center" wrapText="1"/>
    </xf>
    <xf numFmtId="0" fontId="21" fillId="15" borderId="2" applyAlignment="1" pivotButton="0" quotePrefix="0" xfId="0">
      <alignment horizontal="left" vertical="center" wrapText="1"/>
    </xf>
    <xf numFmtId="167" fontId="21" fillId="15" borderId="2" applyAlignment="1" pivotButton="0" quotePrefix="0" xfId="0">
      <alignment horizontal="center" vertical="center" wrapText="1"/>
    </xf>
    <xf numFmtId="0" fontId="22" fillId="17" borderId="2" applyAlignment="1" pivotButton="0" quotePrefix="0" xfId="0">
      <alignment horizontal="left" vertical="center" wrapText="1"/>
    </xf>
    <xf numFmtId="166" fontId="13" fillId="17" borderId="2" applyAlignment="1" pivotButton="0" quotePrefix="0" xfId="0">
      <alignment horizontal="center" vertical="center" wrapText="1"/>
    </xf>
    <xf numFmtId="166" fontId="8" fillId="17" borderId="2" applyAlignment="1" pivotButton="0" quotePrefix="0" xfId="0">
      <alignment horizontal="center" vertical="center" wrapText="1"/>
    </xf>
    <xf numFmtId="167" fontId="22" fillId="17" borderId="2" applyAlignment="1" pivotButton="0" quotePrefix="0" xfId="0">
      <alignment horizontal="center" vertical="center" wrapText="1"/>
    </xf>
    <xf numFmtId="0" fontId="23" fillId="18" borderId="2" applyAlignment="1" pivotButton="0" quotePrefix="0" xfId="0">
      <alignment horizontal="left" vertical="center" wrapText="1"/>
    </xf>
    <xf numFmtId="166" fontId="13" fillId="18" borderId="2" applyAlignment="1" pivotButton="0" quotePrefix="0" xfId="0">
      <alignment horizontal="center" vertical="center" wrapText="1"/>
    </xf>
    <xf numFmtId="166" fontId="8" fillId="18" borderId="2" applyAlignment="1" pivotButton="0" quotePrefix="0" xfId="0">
      <alignment horizontal="center" vertical="center" wrapText="1"/>
    </xf>
    <xf numFmtId="167" fontId="23" fillId="18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center" vertical="center" wrapText="1"/>
    </xf>
    <xf numFmtId="166" fontId="9" fillId="8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general" vertical="bottom"/>
    </xf>
    <xf numFmtId="0" fontId="24" fillId="6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24" fillId="19" borderId="0" applyAlignment="1" pivotButton="0" quotePrefix="0" xfId="0">
      <alignment horizontal="center" vertical="center" wrapText="1"/>
    </xf>
    <xf numFmtId="0" fontId="6" fillId="19" borderId="0" applyAlignment="1" pivotButton="0" quotePrefix="0" xfId="0">
      <alignment horizontal="center" vertical="center" wrapText="1"/>
    </xf>
    <xf numFmtId="0" fontId="6" fillId="20" borderId="0" applyAlignment="1" pivotButton="0" quotePrefix="0" xfId="0">
      <alignment horizontal="center" vertical="center" wrapText="1"/>
    </xf>
    <xf numFmtId="0" fontId="25" fillId="21" borderId="2" applyAlignment="1" pivotButton="0" quotePrefix="0" xfId="0">
      <alignment horizontal="left" vertical="center" wrapText="1"/>
    </xf>
    <xf numFmtId="166" fontId="26" fillId="21" borderId="2" applyAlignment="1" pivotButton="0" quotePrefix="0" xfId="0">
      <alignment horizontal="center" vertical="center" wrapText="1"/>
    </xf>
    <xf numFmtId="166" fontId="25" fillId="21" borderId="2" applyAlignment="1" pivotButton="0" quotePrefix="0" xfId="0">
      <alignment horizontal="center" vertical="center" wrapText="1"/>
    </xf>
    <xf numFmtId="0" fontId="27" fillId="22" borderId="2" applyAlignment="1" pivotButton="0" quotePrefix="0" xfId="0">
      <alignment horizontal="left" vertical="center" wrapText="1"/>
    </xf>
    <xf numFmtId="166" fontId="28" fillId="22" borderId="2" applyAlignment="1" pivotButton="0" quotePrefix="0" xfId="0">
      <alignment horizontal="center" vertical="center" wrapText="1"/>
    </xf>
    <xf numFmtId="166" fontId="27" fillId="22" borderId="2" applyAlignment="1" pivotButton="0" quotePrefix="0" xfId="0">
      <alignment horizontal="center" vertical="center" wrapText="1"/>
    </xf>
    <xf numFmtId="0" fontId="29" fillId="11" borderId="2" applyAlignment="1" pivotButton="0" quotePrefix="0" xfId="0">
      <alignment horizontal="left" vertical="center" wrapText="1"/>
    </xf>
    <xf numFmtId="166" fontId="30" fillId="11" borderId="2" applyAlignment="1" pivotButton="0" quotePrefix="0" xfId="0">
      <alignment horizontal="center" vertical="center" wrapText="1"/>
    </xf>
    <xf numFmtId="166" fontId="29" fillId="11" borderId="2" applyAlignment="1" pivotButton="0" quotePrefix="0" xfId="0">
      <alignment horizontal="center" vertical="center" wrapText="1"/>
    </xf>
    <xf numFmtId="0" fontId="31" fillId="23" borderId="2" applyAlignment="1" pivotButton="0" quotePrefix="0" xfId="0">
      <alignment horizontal="left" vertical="center" wrapText="1"/>
    </xf>
    <xf numFmtId="166" fontId="32" fillId="23" borderId="2" applyAlignment="1" pivotButton="0" quotePrefix="0" xfId="0">
      <alignment horizontal="center" vertical="center" wrapText="1"/>
    </xf>
    <xf numFmtId="166" fontId="31" fillId="23" borderId="2" applyAlignment="1" pivotButton="0" quotePrefix="0" xfId="0">
      <alignment horizontal="center" vertical="center" wrapText="1"/>
    </xf>
    <xf numFmtId="0" fontId="9" fillId="19" borderId="2" applyAlignment="1" pivotButton="0" quotePrefix="0" xfId="0">
      <alignment horizontal="center" vertical="center" wrapText="1"/>
    </xf>
    <xf numFmtId="166" fontId="9" fillId="20" borderId="2" applyAlignment="1" pivotButton="0" quotePrefix="0" xfId="0">
      <alignment horizontal="center" vertical="center" wrapText="1"/>
    </xf>
    <xf numFmtId="0" fontId="9" fillId="24" borderId="2" applyAlignment="1" pivotButton="0" quotePrefix="0" xfId="0">
      <alignment horizontal="center" vertical="center" wrapText="1"/>
    </xf>
    <xf numFmtId="166" fontId="9" fillId="24" borderId="2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166" fontId="35" fillId="0" borderId="2" applyAlignment="1" pivotButton="0" quotePrefix="0" xfId="0">
      <alignment horizontal="center" vertical="center"/>
    </xf>
    <xf numFmtId="166" fontId="7" fillId="25" borderId="2" applyAlignment="1" pivotButton="0" quotePrefix="0" xfId="0">
      <alignment horizontal="center" vertical="center"/>
    </xf>
    <xf numFmtId="166" fontId="7" fillId="25" borderId="2" applyAlignment="1" pivotButton="0" quotePrefix="0" xfId="0">
      <alignment horizontal="center" vertical="center"/>
    </xf>
    <xf numFmtId="166" fontId="7" fillId="5" borderId="2" applyAlignment="1" pivotButton="0" quotePrefix="0" xfId="0">
      <alignment horizontal="center" vertical="center"/>
    </xf>
    <xf numFmtId="166" fontId="7" fillId="5" borderId="2" applyAlignment="1" pivotButton="0" quotePrefix="0" xfId="0">
      <alignment horizontal="center" vertical="center"/>
    </xf>
    <xf numFmtId="0" fontId="36" fillId="3" borderId="2" applyAlignment="1" pivotButton="0" quotePrefix="0" xfId="0">
      <alignment horizontal="left" vertical="center"/>
    </xf>
    <xf numFmtId="166" fontId="36" fillId="3" borderId="2" applyAlignment="1" pivotButton="0" quotePrefix="0" xfId="0">
      <alignment horizontal="center" vertical="bottom"/>
    </xf>
    <xf numFmtId="166" fontId="36" fillId="3" borderId="2" applyAlignment="1" pivotButton="0" quotePrefix="0" xfId="0">
      <alignment horizontal="center" vertical="bottom"/>
    </xf>
    <xf numFmtId="0" fontId="6" fillId="8" borderId="0" applyAlignment="1" pivotButton="0" quotePrefix="0" xfId="0">
      <alignment horizontal="left" vertical="center"/>
    </xf>
    <xf numFmtId="0" fontId="6" fillId="26" borderId="0" applyAlignment="1" pivotButton="0" quotePrefix="0" xfId="0">
      <alignment horizontal="left" vertical="center"/>
    </xf>
    <xf numFmtId="166" fontId="36" fillId="3" borderId="0" applyAlignment="1" pivotButton="0" quotePrefix="0" xfId="0">
      <alignment horizontal="center" vertical="bottom"/>
    </xf>
    <xf numFmtId="0" fontId="6" fillId="27" borderId="0" applyAlignment="1" pivotButton="0" quotePrefix="0" xfId="0">
      <alignment horizontal="left" vertical="center"/>
    </xf>
    <xf numFmtId="0" fontId="6" fillId="28" borderId="0" applyAlignment="1" pivotButton="0" quotePrefix="0" xfId="0">
      <alignment horizontal="left" vertical="center"/>
    </xf>
    <xf numFmtId="0" fontId="6" fillId="29" borderId="0" applyAlignment="1" pivotButton="0" quotePrefix="0" xfId="0">
      <alignment horizontal="left" vertical="center"/>
    </xf>
    <xf numFmtId="0" fontId="9" fillId="6" borderId="2" applyAlignment="1" pivotButton="0" quotePrefix="0" xfId="0">
      <alignment horizontal="center" vertical="center"/>
    </xf>
    <xf numFmtId="166" fontId="9" fillId="8" borderId="2" applyAlignment="1" pivotButton="0" quotePrefix="0" xfId="0">
      <alignment horizontal="center" vertical="bottom"/>
    </xf>
    <xf numFmtId="166" fontId="9" fillId="8" borderId="2" applyAlignment="1" pivotButton="0" quotePrefix="0" xfId="0">
      <alignment horizontal="center" vertical="bottom"/>
    </xf>
    <xf numFmtId="0" fontId="37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25" fillId="21" borderId="2" applyAlignment="1" pivotButton="0" quotePrefix="0" xfId="0">
      <alignment horizontal="center" vertical="center"/>
    </xf>
    <xf numFmtId="0" fontId="25" fillId="21" borderId="2" applyAlignment="1" pivotButton="0" quotePrefix="0" xfId="0">
      <alignment horizontal="center" vertical="center"/>
    </xf>
    <xf numFmtId="0" fontId="38" fillId="30" borderId="2" applyAlignment="1" pivotButton="0" quotePrefix="0" xfId="0">
      <alignment horizontal="center" vertical="center"/>
    </xf>
    <xf numFmtId="0" fontId="38" fillId="3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6" fontId="35" fillId="9" borderId="0" applyAlignment="1" pivotButton="0" quotePrefix="0" xfId="0">
      <alignment horizontal="center" vertical="center"/>
    </xf>
    <xf numFmtId="0" fontId="39" fillId="4" borderId="2" applyAlignment="1" pivotButton="0" quotePrefix="0" xfId="0">
      <alignment horizontal="center" vertical="center"/>
    </xf>
    <xf numFmtId="0" fontId="39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166" fontId="6" fillId="6" borderId="1" applyAlignment="1" pivotButton="0" quotePrefix="0" xfId="0">
      <alignment horizontal="center" vertical="bottom"/>
    </xf>
    <xf numFmtId="166" fontId="6" fillId="8" borderId="2" applyAlignment="1" pivotButton="0" quotePrefix="0" xfId="0">
      <alignment horizontal="center" vertical="bottom"/>
    </xf>
    <xf numFmtId="166" fontId="6" fillId="8" borderId="2" applyAlignment="1" pivotButton="0" quotePrefix="0" xfId="0">
      <alignment horizontal="center" vertical="bottom"/>
    </xf>
    <xf numFmtId="0" fontId="40" fillId="0" borderId="0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 wrapText="1"/>
    </xf>
    <xf numFmtId="0" fontId="4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4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 wrapText="1"/>
    </xf>
    <xf numFmtId="0" fontId="9" fillId="20" borderId="0" applyAlignment="1" pivotButton="0" quotePrefix="0" xfId="0">
      <alignment horizontal="left" vertical="center"/>
    </xf>
    <xf numFmtId="0" fontId="42" fillId="31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24" fillId="8" borderId="0" applyAlignment="1" pivotButton="0" quotePrefix="0" xfId="0">
      <alignment horizontal="center" vertical="center" wrapText="1"/>
    </xf>
    <xf numFmtId="0" fontId="43" fillId="7" borderId="0" applyAlignment="1" pivotButton="0" quotePrefix="0" xfId="0">
      <alignment horizontal="center" vertical="center" wrapText="1"/>
    </xf>
    <xf numFmtId="0" fontId="44" fillId="3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166" fontId="35" fillId="9" borderId="2" applyAlignment="1" pivotButton="0" quotePrefix="0" xfId="0">
      <alignment horizontal="center" vertical="center" wrapText="1"/>
    </xf>
    <xf numFmtId="10" fontId="35" fillId="9" borderId="2" applyAlignment="1" pivotButton="0" quotePrefix="0" xfId="0">
      <alignment horizontal="center" vertical="center" wrapText="1"/>
    </xf>
    <xf numFmtId="0" fontId="7" fillId="32" borderId="2" applyAlignment="1" pivotButton="0" quotePrefix="0" xfId="0">
      <alignment horizontal="left" vertical="center" wrapText="1"/>
    </xf>
    <xf numFmtId="166" fontId="7" fillId="32" borderId="2" applyAlignment="1" pivotButton="0" quotePrefix="0" xfId="0">
      <alignment horizontal="center" vertical="bottom"/>
    </xf>
    <xf numFmtId="0" fontId="7" fillId="5" borderId="2" applyAlignment="1" pivotButton="0" quotePrefix="0" xfId="0">
      <alignment horizontal="left" vertical="center" wrapText="1"/>
    </xf>
    <xf numFmtId="166" fontId="0" fillId="0" borderId="2" applyAlignment="1" pivotButton="0" quotePrefix="0" xfId="0">
      <alignment horizontal="center" vertical="bottom"/>
    </xf>
    <xf numFmtId="166" fontId="7" fillId="5" borderId="2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F0F4FF"/>
      <rgbColor rgb="FF0000FF"/>
      <rgbColor rgb="FFFDEBD0"/>
      <rgbColor rgb="FFFF0066"/>
      <rgbColor rgb="FFEBF3FB"/>
      <rgbColor rgb="FF9C0006"/>
      <rgbColor rgb="FF276221"/>
      <rgbColor rgb="FFF5F9FF"/>
      <rgbColor rgb="FF7F6000"/>
      <rgbColor rgb="FF5E536B"/>
      <rgbColor rgb="FF4F7EB8"/>
      <rgbColor rgb="FFC3BFC0"/>
      <rgbColor rgb="FF838383"/>
      <rgbColor rgb="FF8DAED1"/>
      <rgbColor rgb="FFAC4742"/>
      <rgbColor rgb="FFFFF9E5"/>
      <rgbColor rgb="FFE5F7FF"/>
      <rgbColor rgb="FF4A4A4A"/>
      <rgbColor rgb="FFF08134"/>
      <rgbColor rgb="FF406B9D"/>
      <rgbColor rgb="FFD7E4F0"/>
      <rgbColor rgb="FFF9F9F9"/>
      <rgbColor rgb="FFFFF0E5"/>
      <rgbColor rgb="FFEBF7E0"/>
      <rgbColor rgb="FFF0FFF0"/>
      <rgbColor rgb="FFF5F5F5"/>
      <rgbColor rgb="FFC00000"/>
      <rgbColor rgb="FF555555"/>
      <rgbColor rgb="FFF2F8FF"/>
      <rgbColor rgb="FFF0E5FF"/>
      <rgbColor rgb="FFDDEEFF"/>
      <rgbColor rgb="FFD9F7BE"/>
      <rgbColor rgb="FFFFF2CC"/>
      <rgbColor rgb="FFB0D0E0"/>
      <rgbColor rgb="FFFFE5F0"/>
      <rgbColor rgb="FFC1D39F"/>
      <rgbColor rgb="FFFFC9C3"/>
      <rgbColor rgb="FF2E76B5"/>
      <rgbColor rgb="FF24AADB"/>
      <rgbColor rgb="FF7BAB4B"/>
      <rgbColor rgb="FFFFC000"/>
      <rgbColor rgb="FFC6EFCE"/>
      <rgbColor rgb="FFC56619"/>
      <rgbColor rgb="FF785F99"/>
      <rgbColor rgb="FFB5949E"/>
      <rgbColor rgb="FF1F3864"/>
      <rgbColor rgb="FF2E7D32"/>
      <rgbColor rgb="FF1E5631"/>
      <rgbColor rgb="FF375623"/>
      <rgbColor rgb="FF833C00"/>
      <rgbColor rgb="FF7030A0"/>
      <rgbColor rgb="FF1F4E7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Gastos Visa por Categoría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'💳 Gastos Tarjeta'!I4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672a8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ab4744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8aa64f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725990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4299b0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dc853e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93a9ce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d09493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b8cd97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a99bbd"/>
              </a:solidFill>
              <a:ln xmlns:a="http://schemas.openxmlformats.org/drawingml/2006/main" w="0">
                <a:solidFill>
                  <a:srgbClr val="000000"/>
                </a:solidFill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3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4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5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6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7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8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dLbl>
              <idx val="9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0"/>
              <showCatName val="1"/>
              <showSerName val="1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0"/>
            <showCatName val="1"/>
            <showSerName val="1"/>
            <showPercent val="1"/>
            <showLeaderLines val="1"/>
          </dLbls>
          <cat>
            <strRef>
              <f>'💳 Gastos Tarjeta'!$A$5:$A$14</f>
              <strCache>
                <ptCount val="10"/>
                <pt idx="0">
                  <v>🛒 Supermercados</v>
                </pt>
                <pt idx="1">
                  <v>🍽️ Restaurantes / Cafés</v>
                </pt>
                <pt idx="2">
                  <v>⛽ Combustible / Transporte</v>
                </pt>
                <pt idx="3">
                  <v>💻 Tecnología / Suscripciones</v>
                </pt>
                <pt idx="4">
                  <v>👗 Ropa / Compras</v>
                </pt>
                <pt idx="5">
                  <v>🏠 Hogar / Bricolaje</v>
                </pt>
                <pt idx="6">
                  <v>💊 Salud / Farmacia</v>
                </pt>
                <pt idx="7">
                  <v>🐾 Mascotas</v>
                </pt>
                <pt idx="8">
                  <v>🎭 Ocio / Lotería</v>
                </pt>
                <pt idx="9">
                  <v>📋 Otros Visa</v>
                </pt>
              </strCache>
            </strRef>
          </cat>
          <val>
            <numRef>
              <f>'💳 Gastos Tarjeta'!$I$5:$I$14</f>
              <numCache>
                <formatCode>#,##0.00" €"</formatCode>
                <ptCount val="10"/>
                <pt idx="0">
                  <v>-1756.13</v>
                </pt>
                <pt idx="1">
                  <v>-375.61</v>
                </pt>
                <pt idx="2">
                  <v>-156.94</v>
                </pt>
                <pt idx="3">
                  <v>-959.7</v>
                </pt>
                <pt idx="4">
                  <v>-206.18</v>
                </pt>
                <pt idx="5">
                  <v>-153.82</v>
                </pt>
                <pt idx="6">
                  <v>-119.35</v>
                </pt>
                <pt idx="7">
                  <v>-22</v>
                </pt>
                <pt idx="8">
                  <v>-20</v>
                </pt>
                <pt idx="9">
                  <v>-79.11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Evolución Total Deuda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"Deuda Total"</f>
              <strCache>
                <ptCount val="1"/>
                <pt idx="0">
                  <v>Deuda Total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24840">
              <a:solidFill>
                <a:srgbClr val="2e75b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Deudas'!$B$24</f>
              <numCache>
                <formatCode>General</formatCode>
                <ptCount val="1"/>
              </numCache>
            </numRef>
          </val>
          <smooth val="1"/>
        </ser>
        <ser>
          <idx val="1"/>
          <order val="1"/>
          <spPr>
            <a:solidFill xmlns:a="http://schemas.openxmlformats.org/drawingml/2006/main">
              <a:srgbClr val="9d3e3b"/>
            </a:solidFill>
            <a:ln xmlns:a="http://schemas.openxmlformats.org/drawingml/2006/main" w="28440">
              <a:solidFill>
                <a:srgbClr val="9d3e3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Deudas'!$C$24</f>
              <numCache>
                <formatCode>General</formatCode>
                <ptCount val="1"/>
              </numCache>
            </numRef>
          </val>
          <smooth val="1"/>
        </ser>
        <ser>
          <idx val="2"/>
          <order val="2"/>
          <spPr>
            <a:solidFill xmlns:a="http://schemas.openxmlformats.org/drawingml/2006/main">
              <a:srgbClr val="7e9945"/>
            </a:solidFill>
            <a:ln xmlns:a="http://schemas.openxmlformats.org/drawingml/2006/main" w="28440">
              <a:solidFill>
                <a:srgbClr val="7e994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Deudas'!$D$24</f>
              <numCache>
                <formatCode>General</formatCode>
                <ptCount val="1"/>
              </numCache>
            </numRef>
          </val>
          <smooth val="1"/>
        </ser>
        <ser>
          <idx val="3"/>
          <order val="3"/>
          <spPr>
            <a:solidFill xmlns:a="http://schemas.openxmlformats.org/drawingml/2006/main">
              <a:srgbClr val="674f84"/>
            </a:solidFill>
            <a:ln xmlns:a="http://schemas.openxmlformats.org/drawingml/2006/main" w="28440">
              <a:solidFill>
                <a:srgbClr val="674f8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Deudas'!$E$24</f>
              <numCache>
                <formatCode>General</formatCode>
                <ptCount val="1"/>
              </numCache>
            </numRef>
          </val>
          <smooth val="1"/>
        </ser>
        <ser>
          <idx val="4"/>
          <order val="4"/>
          <spPr>
            <a:solidFill xmlns:a="http://schemas.openxmlformats.org/drawingml/2006/main">
              <a:srgbClr val="398ba2"/>
            </a:solidFill>
            <a:ln xmlns:a="http://schemas.openxmlformats.org/drawingml/2006/main" w="28440">
              <a:solidFill>
                <a:srgbClr val="398ba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Deudas'!$F$24</f>
              <numCache>
                <formatCode>General</formatCode>
                <ptCount val="1"/>
              </numCache>
            </numRef>
          </val>
          <smooth val="1"/>
        </ser>
        <ser>
          <idx val="5"/>
          <order val="5"/>
          <spPr>
            <a:solidFill xmlns:a="http://schemas.openxmlformats.org/drawingml/2006/main">
              <a:srgbClr val="cb7934"/>
            </a:solidFill>
            <a:ln xmlns:a="http://schemas.openxmlformats.org/drawingml/2006/main" w="28440">
              <a:solidFill>
                <a:srgbClr val="cb793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Deudas'!$G$24</f>
              <numCache>
                <formatCode>General</formatCode>
                <ptCount val="1"/>
              </numCache>
            </numRef>
          </val>
          <smooth val="1"/>
        </ser>
        <ser>
          <idx val="6"/>
          <order val="6"/>
          <spPr>
            <a:solidFill xmlns:a="http://schemas.openxmlformats.org/drawingml/2006/main">
              <a:srgbClr val="4a7ebb"/>
            </a:solidFill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Deudas'!$H$24</f>
              <numCache>
                <formatCode>General</formatCode>
                <ptCount val="1"/>
              </numCache>
            </numRef>
          </val>
          <smooth val="1"/>
        </ser>
        <ser>
          <idx val="7"/>
          <order val="7"/>
          <spPr>
            <a:solidFill xmlns:a="http://schemas.openxmlformats.org/drawingml/2006/main">
              <a:srgbClr val="be4b48"/>
            </a:solidFill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Deudas'!$I$24</f>
              <numCache>
                <formatCode>General</formatCode>
                <ptCount val="1"/>
              </numCache>
            </numRef>
          </val>
          <smooth val="1"/>
        </ser>
        <ser>
          <idx val="8"/>
          <order val="8"/>
          <spPr>
            <a:solidFill xmlns:a="http://schemas.openxmlformats.org/drawingml/2006/main">
              <a:srgbClr val="98b855"/>
            </a:solidFill>
            <a:ln xmlns:a="http://schemas.openxmlformats.org/drawingml/2006/main" w="28440">
              <a:solidFill>
                <a:srgbClr val="98b85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Deudas'!$J$24</f>
              <numCache>
                <formatCode>General</formatCode>
                <ptCount val="1"/>
              </numCache>
            </numRef>
          </val>
          <smooth val="1"/>
        </ser>
        <ser>
          <idx val="9"/>
          <order val="9"/>
          <spPr>
            <a:solidFill xmlns:a="http://schemas.openxmlformats.org/drawingml/2006/main">
              <a:srgbClr val="7d5fa0"/>
            </a:solidFill>
            <a:ln xmlns:a="http://schemas.openxmlformats.org/drawingml/2006/main" w="28440">
              <a:solidFill>
                <a:srgbClr val="7d5fa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Deudas'!$K$24</f>
              <numCache>
                <formatCode>General</formatCode>
                <ptCount val="1"/>
              </numCache>
            </numRef>
          </val>
          <smooth val="1"/>
        </ser>
        <ser>
          <idx val="10"/>
          <order val="10"/>
          <spPr>
            <a:solidFill xmlns:a="http://schemas.openxmlformats.org/drawingml/2006/main">
              <a:srgbClr val="46aac4"/>
            </a:solidFill>
            <a:ln xmlns:a="http://schemas.openxmlformats.org/drawingml/2006/main" w="28440">
              <a:solidFill>
                <a:srgbClr val="46aac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Deudas'!$L$24</f>
              <numCache>
                <formatCode>General</formatCode>
                <ptCount val="1"/>
              </numCache>
            </numRef>
          </val>
          <smooth val="1"/>
        </ser>
        <ser>
          <idx val="11"/>
          <order val="11"/>
          <spPr>
            <a:solidFill xmlns:a="http://schemas.openxmlformats.org/drawingml/2006/main">
              <a:srgbClr val="f59240"/>
            </a:solidFill>
            <a:ln xmlns:a="http://schemas.openxmlformats.org/drawingml/2006/main" w="28440">
              <a:solidFill>
                <a:srgbClr val="f5924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Deudas'!$M$24</f>
              <numCache>
                <formatCode>General</formatCode>
                <ptCount val="1"/>
              </numCache>
            </numRef>
          </val>
          <smooth val="1"/>
        </ser>
        <ser>
          <idx val="12"/>
          <order val="12"/>
          <spPr>
            <a:solidFill xmlns:a="http://schemas.openxmlformats.org/drawingml/2006/main">
              <a:srgbClr val="a5b5d3"/>
            </a:solidFill>
            <a:ln xmlns:a="http://schemas.openxmlformats.org/drawingml/2006/main" w="28440">
              <a:solidFill>
                <a:srgbClr val="a5b5d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Deudas'!$N$24</f>
              <numCache>
                <formatCode>General</formatCode>
                <ptCount val="1"/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16188198"/>
        <axId val="77833819"/>
      </lineChart>
      <catAx>
        <axId val="1618819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7833819"/>
        <crosses val="autoZero"/>
        <auto val="1"/>
        <lblAlgn val="ctr"/>
        <lblOffset val="100"/>
        <noMultiLvlLbl val="0"/>
      </catAx>
      <valAx>
        <axId val="7783381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Saldo (€)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.00&quot; €&quot;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1618819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Deuda por Producto (Apilada)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stacked"/>
        <varyColors val="0"/>
        <ser>
          <idx val="0"/>
          <order val="0"/>
          <tx>
            <strRef>
              <f>"Préstamo 850922737-1"</f>
              <strCache>
                <ptCount val="1"/>
                <pt idx="0">
                  <v>Préstamo 850922737-1</v>
                </pt>
              </strCache>
            </strRef>
          </tx>
          <spPr>
            <a:solidFill xmlns:a="http://schemas.openxmlformats.org/drawingml/2006/main">
              <a:srgbClr val="1f386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Deudas'!$B$16</f>
              <numCache>
                <formatCode>#,##0.00" €"</formatCode>
                <ptCount val="1"/>
                <pt idx="0">
                  <v>5642.36</v>
                </pt>
              </numCache>
            </numRef>
          </val>
        </ser>
        <ser>
          <idx val="1"/>
          <order val="1"/>
          <tx>
            <strRef>
              <f>"Préstamo 853198848-9"</f>
              <strCache>
                <ptCount val="1"/>
                <pt idx="0">
                  <v>Préstamo 853198848-9</v>
                </pt>
              </strCache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Deudas'!$C$16</f>
              <numCache>
                <formatCode>#,##0.00" €"</formatCode>
                <ptCount val="1"/>
                <pt idx="0">
                  <v>5397.04</v>
                </pt>
              </numCache>
            </numRef>
          </val>
        </ser>
        <ser>
          <idx val="2"/>
          <order val="2"/>
          <tx>
            <strRef>
              <f>"Cetelem (1)"</f>
              <strCache>
                <ptCount val="1"/>
                <pt idx="0">
                  <v>Cetelem (1)</v>
                </pt>
              </strCache>
            </strRef>
          </tx>
          <spPr>
            <a:solidFill xmlns:a="http://schemas.openxmlformats.org/drawingml/2006/main">
              <a:srgbClr val="4bacc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Deudas'!$D$16</f>
              <numCache>
                <formatCode>#,##0.00" €"</formatCode>
                <ptCount val="1"/>
                <pt idx="0">
                  <v>5151.72</v>
                </pt>
              </numCache>
            </numRef>
          </val>
        </ser>
        <ser>
          <idx val="3"/>
          <order val="3"/>
          <tx>
            <strRef>
              <f>"Cetelem (2)"</f>
              <strCache>
                <ptCount val="1"/>
                <pt idx="0">
                  <v>Cetelem (2)</v>
                </pt>
              </strCache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Deudas'!$E$16</f>
              <numCache>
                <formatCode>#,##0.00" €"</formatCode>
                <ptCount val="1"/>
                <pt idx="0">
                  <v>4906.4</v>
                </pt>
              </numCache>
            </numRef>
          </val>
        </ser>
        <ser>
          <idx val="4"/>
          <order val="4"/>
          <tx>
            <strRef>
              <f>"Carrefour S.Financ"</f>
              <strCache>
                <ptCount val="1"/>
                <pt idx="0">
                  <v>Carrefour S.Financ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Deudas'!$F$16</f>
              <numCache>
                <formatCode>#,##0.00" €"</formatCode>
                <ptCount val="1"/>
                <pt idx="0">
                  <v>4661.08</v>
                </pt>
              </numCache>
            </numRef>
          </val>
        </ser>
        <ser>
          <idx val="5"/>
          <order val="5"/>
          <tx>
            <strRef>
              <f>"Carrefour Serv.Fin"</f>
              <strCache>
                <ptCount val="1"/>
                <pt idx="0">
                  <v>Carrefour Serv.Fin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Deudas'!$G$16</f>
              <numCache>
                <formatCode>#,##0.00" €"</formatCode>
                <ptCount val="1"/>
                <pt idx="0">
                  <v>4415.76</v>
                </pt>
              </numCache>
            </numRef>
          </val>
        </ser>
        <ser>
          <idx val="6"/>
          <order val="6"/>
          <tx>
            <strRef>
              <f>"Carrefour S.F."</f>
              <strCache>
                <ptCount val="1"/>
                <pt idx="0">
                  <v>Carrefour S.F.</v>
                </pt>
              </strCache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Deudas'!$H$16</f>
              <numCache>
                <formatCode>#,##0.00" €"</formatCode>
                <ptCount val="1"/>
                <pt idx="0">
                  <v>4170.44</v>
                </pt>
              </numCache>
            </numRef>
          </val>
        </ser>
        <ser>
          <idx val="7"/>
          <order val="7"/>
          <tx>
            <strRef>
              <f>"Hipoteca"</f>
              <strCache>
                <ptCount val="1"/>
                <pt idx="0">
                  <v>Hipoteca</v>
                </pt>
              </strCache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Deudas'!$I$16</f>
              <numCache>
                <formatCode>#,##0.00" €"</formatCode>
                <ptCount val="1"/>
                <pt idx="0">
                  <v>3925.12</v>
                </pt>
              </numCache>
            </numRef>
          </val>
        </ser>
        <ser>
          <idx val="8"/>
          <order val="8"/>
          <spPr>
            <a:solidFill xmlns:a="http://schemas.openxmlformats.org/drawingml/2006/main">
              <a:srgbClr val="6d833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Deudas'!$J$16</f>
              <numCache>
                <formatCode>#,##0.00" €"</formatCode>
                <ptCount val="1"/>
                <pt idx="0">
                  <v>3679.8</v>
                </pt>
              </numCache>
            </numRef>
          </val>
        </ser>
        <ser>
          <idx val="9"/>
          <order val="9"/>
          <spPr>
            <a:solidFill xmlns:a="http://schemas.openxmlformats.org/drawingml/2006/main">
              <a:srgbClr val="5a467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Deudas'!$K$16</f>
              <numCache>
                <formatCode>#,##0.00" €"</formatCode>
                <ptCount val="1"/>
                <pt idx="0">
                  <v>3434.48</v>
                </pt>
              </numCache>
            </numRef>
          </val>
        </ser>
        <ser>
          <idx val="10"/>
          <order val="10"/>
          <spPr>
            <a:solidFill xmlns:a="http://schemas.openxmlformats.org/drawingml/2006/main">
              <a:srgbClr val="34798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Deudas'!$L$16</f>
              <numCache>
                <formatCode>#,##0.00" €"</formatCode>
                <ptCount val="1"/>
                <pt idx="0">
                  <v>3189.16</v>
                </pt>
              </numCache>
            </numRef>
          </val>
        </ser>
        <ser>
          <idx val="11"/>
          <order val="11"/>
          <spPr>
            <a:solidFill xmlns:a="http://schemas.openxmlformats.org/drawingml/2006/main">
              <a:srgbClr val="ae693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Deudas'!$M$16</f>
              <numCache>
                <formatCode>#,##0.00" €"</formatCode>
                <ptCount val="1"/>
                <pt idx="0">
                  <v>2943.84</v>
                </pt>
              </numCache>
            </numRef>
          </val>
        </ser>
        <ser>
          <idx val="12"/>
          <order val="12"/>
          <spPr>
            <a:solidFill xmlns:a="http://schemas.openxmlformats.org/drawingml/2006/main">
              <a:srgbClr val="3b618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Deudas'!$N$16</f>
              <numCache>
                <formatCode>#,##0.00" €"</formatCode>
                <ptCount val="1"/>
                <pt idx="0">
                  <v>2698.52</v>
                </pt>
              </numCache>
            </numRef>
          </val>
        </ser>
        <ser>
          <idx val="13"/>
          <order val="13"/>
          <spPr>
            <a:solidFill xmlns:a="http://schemas.openxmlformats.org/drawingml/2006/main">
              <a:srgbClr val="903c3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Deudas'!$B$17</f>
              <numCache>
                <formatCode>#,##0.00" €"</formatCode>
                <ptCount val="1"/>
                <pt idx="0">
                  <v>149300</v>
                </pt>
              </numCache>
            </numRef>
          </val>
        </ser>
        <ser>
          <idx val="14"/>
          <order val="14"/>
          <spPr>
            <a:solidFill xmlns:a="http://schemas.openxmlformats.org/drawingml/2006/main">
              <a:srgbClr val="748c4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Deudas'!$C$17</f>
              <numCache>
                <formatCode>#,##0.00" €"</formatCode>
                <ptCount val="1"/>
                <pt idx="0">
                  <v>148600</v>
                </pt>
              </numCache>
            </numRef>
          </val>
        </ser>
        <ser>
          <idx val="15"/>
          <order val="15"/>
          <spPr>
            <a:solidFill xmlns:a="http://schemas.openxmlformats.org/drawingml/2006/main">
              <a:srgbClr val="604b7a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Deudas'!$D$17</f>
              <numCache>
                <formatCode>#,##0.00" €"</formatCode>
                <ptCount val="1"/>
                <pt idx="0">
                  <v>147900</v>
                </pt>
              </numCache>
            </numRef>
          </val>
        </ser>
        <ser>
          <idx val="16"/>
          <order val="16"/>
          <spPr>
            <a:solidFill xmlns:a="http://schemas.openxmlformats.org/drawingml/2006/main">
              <a:srgbClr val="38819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Deudas'!$E$17</f>
              <numCache>
                <formatCode>#,##0.00" €"</formatCode>
                <ptCount val="1"/>
                <pt idx="0">
                  <v>147200</v>
                </pt>
              </numCache>
            </numRef>
          </val>
        </ser>
        <ser>
          <idx val="17"/>
          <order val="17"/>
          <spPr>
            <a:solidFill xmlns:a="http://schemas.openxmlformats.org/drawingml/2006/main">
              <a:srgbClr val="ba703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Deudas'!$F$17</f>
              <numCache>
                <formatCode>#,##0.00" €"</formatCode>
                <ptCount val="1"/>
                <pt idx="0">
                  <v>146500</v>
                </pt>
              </numCache>
            </numRef>
          </val>
        </ser>
        <ser>
          <idx val="18"/>
          <order val="18"/>
          <spPr>
            <a:solidFill xmlns:a="http://schemas.openxmlformats.org/drawingml/2006/main">
              <a:srgbClr val="3f669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Deudas'!$G$17</f>
              <numCache>
                <formatCode>#,##0.00" €"</formatCode>
                <ptCount val="1"/>
                <pt idx="0">
                  <v>145800</v>
                </pt>
              </numCache>
            </numRef>
          </val>
        </ser>
        <ser>
          <idx val="19"/>
          <order val="19"/>
          <spPr>
            <a:solidFill xmlns:a="http://schemas.openxmlformats.org/drawingml/2006/main">
              <a:srgbClr val="993f3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Deudas'!$H$17</f>
              <numCache>
                <formatCode>#,##0.00" €"</formatCode>
                <ptCount val="1"/>
                <pt idx="0">
                  <v>145100</v>
                </pt>
              </numCache>
            </numRef>
          </val>
        </ser>
        <ser>
          <idx val="20"/>
          <order val="20"/>
          <spPr>
            <a:solidFill xmlns:a="http://schemas.openxmlformats.org/drawingml/2006/main">
              <a:srgbClr val="7b954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Deudas'!$I$17</f>
              <numCache>
                <formatCode>#,##0.00" €"</formatCode>
                <ptCount val="1"/>
                <pt idx="0">
                  <v>144400</v>
                </pt>
              </numCache>
            </numRef>
          </val>
        </ser>
        <ser>
          <idx val="21"/>
          <order val="21"/>
          <spPr>
            <a:solidFill xmlns:a="http://schemas.openxmlformats.org/drawingml/2006/main">
              <a:srgbClr val="664f8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Deudas'!$J$17</f>
              <numCache>
                <formatCode>#,##0.00" €"</formatCode>
                <ptCount val="1"/>
                <pt idx="0">
                  <v>143700</v>
                </pt>
              </numCache>
            </numRef>
          </val>
        </ser>
        <ser>
          <idx val="22"/>
          <order val="22"/>
          <spPr>
            <a:solidFill xmlns:a="http://schemas.openxmlformats.org/drawingml/2006/main">
              <a:srgbClr val="3b899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Deudas'!$K$17</f>
              <numCache>
                <formatCode>#,##0.00" €"</formatCode>
                <ptCount val="1"/>
                <pt idx="0">
                  <v>143000</v>
                </pt>
              </numCache>
            </numRef>
          </val>
        </ser>
        <ser>
          <idx val="23"/>
          <order val="23"/>
          <spPr>
            <a:solidFill xmlns:a="http://schemas.openxmlformats.org/drawingml/2006/main">
              <a:srgbClr val="c57737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Deudas'!$L$17</f>
              <numCache>
                <formatCode>#,##0.00" €"</formatCode>
                <ptCount val="1"/>
                <pt idx="0">
                  <v>142300</v>
                </pt>
              </numCache>
            </numRef>
          </val>
        </ser>
        <ser>
          <idx val="24"/>
          <order val="24"/>
          <spPr>
            <a:solidFill xmlns:a="http://schemas.openxmlformats.org/drawingml/2006/main">
              <a:srgbClr val="426c9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Deudas'!$M$17</f>
              <numCache>
                <formatCode>#,##0.00" €"</formatCode>
                <ptCount val="1"/>
                <pt idx="0">
                  <v>141600</v>
                </pt>
              </numCache>
            </numRef>
          </val>
        </ser>
        <ser>
          <idx val="25"/>
          <order val="25"/>
          <spPr>
            <a:solidFill xmlns:a="http://schemas.openxmlformats.org/drawingml/2006/main">
              <a:srgbClr val="a1434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Deudas'!$N$17</f>
              <numCache>
                <formatCode>#,##0.00" €"</formatCode>
                <ptCount val="1"/>
                <pt idx="0">
                  <v>140900</v>
                </pt>
              </numCache>
            </numRef>
          </val>
        </ser>
        <ser>
          <idx val="26"/>
          <order val="26"/>
          <spPr>
            <a:solidFill xmlns:a="http://schemas.openxmlformats.org/drawingml/2006/main">
              <a:srgbClr val="829c4a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Deudas'!$B$18</f>
              <numCache>
                <formatCode>#,##0.00" €"</formatCode>
                <ptCount val="1"/>
                <pt idx="0">
                  <v>174179.71</v>
                </pt>
              </numCache>
            </numRef>
          </val>
        </ser>
        <ser>
          <idx val="27"/>
          <order val="27"/>
          <spPr>
            <a:solidFill xmlns:a="http://schemas.openxmlformats.org/drawingml/2006/main">
              <a:srgbClr val="6b5387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Deudas'!$C$18</f>
              <numCache>
                <formatCode>#,##0.00" €"</formatCode>
                <ptCount val="1"/>
                <pt idx="0">
                  <v>172028.42</v>
                </pt>
              </numCache>
            </numRef>
          </val>
        </ser>
        <ser>
          <idx val="28"/>
          <order val="28"/>
          <spPr>
            <a:solidFill xmlns:a="http://schemas.openxmlformats.org/drawingml/2006/main">
              <a:srgbClr val="3e90a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Deudas'!$D$18</f>
              <numCache>
                <formatCode>#,##0.00" €"</formatCode>
                <ptCount val="1"/>
                <pt idx="0">
                  <v>169877.13</v>
                </pt>
              </numCache>
            </numRef>
          </val>
        </ser>
        <ser>
          <idx val="29"/>
          <order val="29"/>
          <spPr>
            <a:solidFill xmlns:a="http://schemas.openxmlformats.org/drawingml/2006/main">
              <a:srgbClr val="cf7d3a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Deudas'!$E$18</f>
              <numCache>
                <formatCode>#,##0.00" €"</formatCode>
                <ptCount val="1"/>
                <pt idx="0">
                  <v>167725.84</v>
                </pt>
              </numCache>
            </numRef>
          </val>
        </ser>
        <ser>
          <idx val="30"/>
          <order val="30"/>
          <spPr>
            <a:solidFill xmlns:a="http://schemas.openxmlformats.org/drawingml/2006/main">
              <a:srgbClr val="4571a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Deudas'!$F$18</f>
              <numCache>
                <formatCode>#,##0.00" €"</formatCode>
                <ptCount val="1"/>
                <pt idx="0">
                  <v>165574.55</v>
                </pt>
              </numCache>
            </numRef>
          </val>
        </ser>
        <ser>
          <idx val="31"/>
          <order val="31"/>
          <spPr>
            <a:solidFill xmlns:a="http://schemas.openxmlformats.org/drawingml/2006/main">
              <a:srgbClr val="a8464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Deudas'!$G$18</f>
              <numCache>
                <formatCode>#,##0.00" €"</formatCode>
                <ptCount val="1"/>
                <pt idx="0">
                  <v>163423.26</v>
                </pt>
              </numCache>
            </numRef>
          </val>
        </ser>
        <ser>
          <idx val="32"/>
          <order val="32"/>
          <spPr>
            <a:solidFill xmlns:a="http://schemas.openxmlformats.org/drawingml/2006/main">
              <a:srgbClr val="88a44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Deudas'!$H$18</f>
              <numCache>
                <formatCode>#,##0.00" €"</formatCode>
                <ptCount val="1"/>
                <pt idx="0">
                  <v>161271.97</v>
                </pt>
              </numCache>
            </numRef>
          </val>
        </ser>
        <ser>
          <idx val="33"/>
          <order val="33"/>
          <spPr>
            <a:solidFill xmlns:a="http://schemas.openxmlformats.org/drawingml/2006/main">
              <a:srgbClr val="70578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Deudas'!$I$18</f>
              <numCache>
                <formatCode>#,##0.00" €"</formatCode>
                <ptCount val="1"/>
                <pt idx="0">
                  <v>159120.68</v>
                </pt>
              </numCache>
            </numRef>
          </val>
        </ser>
        <ser>
          <idx val="34"/>
          <order val="34"/>
          <spPr>
            <a:solidFill xmlns:a="http://schemas.openxmlformats.org/drawingml/2006/main">
              <a:srgbClr val="4197a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Deudas'!$J$18</f>
              <numCache>
                <formatCode>#,##0.00" €"</formatCode>
                <ptCount val="1"/>
                <pt idx="0">
                  <v>156969.39</v>
                </pt>
              </numCache>
            </numRef>
          </val>
        </ser>
        <ser>
          <idx val="35"/>
          <order val="35"/>
          <spPr>
            <a:solidFill xmlns:a="http://schemas.openxmlformats.org/drawingml/2006/main">
              <a:srgbClr val="d8833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Deudas'!$K$18</f>
              <numCache>
                <formatCode>#,##0.00" €"</formatCode>
                <ptCount val="1"/>
                <pt idx="0">
                  <v>154818.1</v>
                </pt>
              </numCache>
            </numRef>
          </val>
        </ser>
        <ser>
          <idx val="36"/>
          <order val="36"/>
          <spPr>
            <a:solidFill xmlns:a="http://schemas.openxmlformats.org/drawingml/2006/main">
              <a:srgbClr val="4876ac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Deudas'!$L$18</f>
              <numCache>
                <formatCode>#,##0.00" €"</formatCode>
                <ptCount val="1"/>
                <pt idx="0">
                  <v>152666.81</v>
                </pt>
              </numCache>
            </numRef>
          </val>
        </ser>
        <ser>
          <idx val="37"/>
          <order val="37"/>
          <spPr>
            <a:solidFill xmlns:a="http://schemas.openxmlformats.org/drawingml/2006/main">
              <a:srgbClr val="af494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Deudas'!$M$18</f>
              <numCache>
                <formatCode>#,##0.00" €"</formatCode>
                <ptCount val="1"/>
                <pt idx="0">
                  <v>150515.52</v>
                </pt>
              </numCache>
            </numRef>
          </val>
        </ser>
        <ser>
          <idx val="38"/>
          <order val="38"/>
          <spPr>
            <a:solidFill xmlns:a="http://schemas.openxmlformats.org/drawingml/2006/main">
              <a:srgbClr val="8dab5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Deudas'!$N$18</f>
              <numCache>
                <formatCode>#,##0.00" €"</formatCode>
                <ptCount val="1"/>
                <pt idx="0">
                  <v>149072.56</v>
                </pt>
              </numCache>
            </numRef>
          </val>
        </ser>
        <ser>
          <idx val="39"/>
          <order val="39"/>
          <spPr>
            <a:solidFill xmlns:a="http://schemas.openxmlformats.org/drawingml/2006/main">
              <a:srgbClr val="755b9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Deudas'!$B$19</f>
              <numCache>
                <formatCode>General</formatCode>
                <ptCount val="1"/>
              </numCache>
            </numRef>
          </val>
        </ser>
        <ser>
          <idx val="40"/>
          <order val="40"/>
          <spPr>
            <a:solidFill xmlns:a="http://schemas.openxmlformats.org/drawingml/2006/main">
              <a:srgbClr val="449db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Deudas'!$C$19</f>
              <numCache>
                <formatCode>General</formatCode>
                <ptCount val="1"/>
              </numCache>
            </numRef>
          </val>
        </ser>
        <ser>
          <idx val="41"/>
          <order val="41"/>
          <spPr>
            <a:solidFill xmlns:a="http://schemas.openxmlformats.org/drawingml/2006/main">
              <a:srgbClr val="e2894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Deudas'!$D$19</f>
              <numCache>
                <formatCode>General</formatCode>
                <ptCount val="1"/>
              </numCache>
            </numRef>
          </val>
        </ser>
        <ser>
          <idx val="42"/>
          <order val="42"/>
          <spPr>
            <a:solidFill xmlns:a="http://schemas.openxmlformats.org/drawingml/2006/main">
              <a:srgbClr val="4b7ab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Deudas'!$E$19</f>
              <numCache>
                <formatCode>General</formatCode>
                <ptCount val="1"/>
              </numCache>
            </numRef>
          </val>
        </ser>
        <ser>
          <idx val="43"/>
          <order val="43"/>
          <spPr>
            <a:solidFill xmlns:a="http://schemas.openxmlformats.org/drawingml/2006/main">
              <a:srgbClr val="b64c4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Deudas'!$F$19</f>
              <numCache>
                <formatCode>General</formatCode>
                <ptCount val="1"/>
              </numCache>
            </numRef>
          </val>
        </ser>
        <ser>
          <idx val="44"/>
          <order val="44"/>
          <spPr>
            <a:solidFill xmlns:a="http://schemas.openxmlformats.org/drawingml/2006/main">
              <a:srgbClr val="93b15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Deudas'!$G$19</f>
              <numCache>
                <formatCode>General</formatCode>
                <ptCount val="1"/>
              </numCache>
            </numRef>
          </val>
        </ser>
        <ser>
          <idx val="45"/>
          <order val="45"/>
          <spPr>
            <a:solidFill xmlns:a="http://schemas.openxmlformats.org/drawingml/2006/main">
              <a:srgbClr val="795f9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Deudas'!$H$19</f>
              <numCache>
                <formatCode>General</formatCode>
                <ptCount val="1"/>
              </numCache>
            </numRef>
          </val>
        </ser>
        <ser>
          <idx val="46"/>
          <order val="46"/>
          <spPr>
            <a:solidFill xmlns:a="http://schemas.openxmlformats.org/drawingml/2006/main">
              <a:srgbClr val="47a3bc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Deudas'!$I$19</f>
              <numCache>
                <formatCode>General</formatCode>
                <ptCount val="1"/>
              </numCache>
            </numRef>
          </val>
        </ser>
        <ser>
          <idx val="47"/>
          <order val="47"/>
          <spPr>
            <a:solidFill xmlns:a="http://schemas.openxmlformats.org/drawingml/2006/main">
              <a:srgbClr val="ea8e4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Deudas'!$J$19</f>
              <numCache>
                <formatCode>General</formatCode>
                <ptCount val="1"/>
              </numCache>
            </numRef>
          </val>
        </ser>
        <ser>
          <idx val="48"/>
          <order val="48"/>
          <spPr>
            <a:solidFill xmlns:a="http://schemas.openxmlformats.org/drawingml/2006/main">
              <a:srgbClr val="4d7eb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Deudas'!$K$19</f>
              <numCache>
                <formatCode>General</formatCode>
                <ptCount val="1"/>
              </numCache>
            </numRef>
          </val>
        </ser>
        <ser>
          <idx val="49"/>
          <order val="49"/>
          <spPr>
            <a:solidFill xmlns:a="http://schemas.openxmlformats.org/drawingml/2006/main">
              <a:srgbClr val="bc4e4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Deudas'!$L$19</f>
              <numCache>
                <formatCode>General</formatCode>
                <ptCount val="1"/>
              </numCache>
            </numRef>
          </val>
        </ser>
        <ser>
          <idx val="50"/>
          <order val="50"/>
          <spPr>
            <a:solidFill xmlns:a="http://schemas.openxmlformats.org/drawingml/2006/main">
              <a:srgbClr val="98b757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Deudas'!$M$19</f>
              <numCache>
                <formatCode>General</formatCode>
                <ptCount val="1"/>
              </numCache>
            </numRef>
          </val>
        </ser>
        <ser>
          <idx val="51"/>
          <order val="51"/>
          <spPr>
            <a:solidFill xmlns:a="http://schemas.openxmlformats.org/drawingml/2006/main">
              <a:srgbClr val="7d629f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Deudas'!$N$19</f>
              <numCache>
                <formatCode>General</formatCode>
                <ptCount val="1"/>
              </numCache>
            </numRef>
          </val>
        </ser>
        <ser>
          <idx val="52"/>
          <order val="52"/>
          <spPr>
            <a:solidFill xmlns:a="http://schemas.openxmlformats.org/drawingml/2006/main">
              <a:srgbClr val="49a9c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Deudas'!$B$20</f>
              <numCache>
                <formatCode>General</formatCode>
                <ptCount val="1"/>
              </numCache>
            </numRef>
          </val>
        </ser>
        <ser>
          <idx val="53"/>
          <order val="53"/>
          <spPr>
            <a:solidFill xmlns:a="http://schemas.openxmlformats.org/drawingml/2006/main">
              <a:srgbClr val="f2934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Deudas'!$C$20</f>
              <numCache>
                <formatCode>General</formatCode>
                <ptCount val="1"/>
              </numCache>
            </numRef>
          </val>
        </ser>
        <ser>
          <idx val="54"/>
          <order val="54"/>
          <spPr>
            <a:solidFill xmlns:a="http://schemas.openxmlformats.org/drawingml/2006/main">
              <a:srgbClr val="5e88bf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Deudas'!$D$20</f>
              <numCache>
                <formatCode>General</formatCode>
                <ptCount val="1"/>
              </numCache>
            </numRef>
          </val>
        </ser>
        <ser>
          <idx val="55"/>
          <order val="55"/>
          <spPr>
            <a:solidFill xmlns:a="http://schemas.openxmlformats.org/drawingml/2006/main">
              <a:srgbClr val="c25f5c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Deudas'!$E$20</f>
              <numCache>
                <formatCode>General</formatCode>
                <ptCount val="1"/>
              </numCache>
            </numRef>
          </val>
        </ser>
        <ser>
          <idx val="56"/>
          <order val="56"/>
          <spPr>
            <a:solidFill xmlns:a="http://schemas.openxmlformats.org/drawingml/2006/main">
              <a:srgbClr val="a0be6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Deudas'!$F$20</f>
              <numCache>
                <formatCode>General</formatCode>
                <ptCount val="1"/>
              </numCache>
            </numRef>
          </val>
        </ser>
        <ser>
          <idx val="57"/>
          <order val="57"/>
          <spPr>
            <a:solidFill xmlns:a="http://schemas.openxmlformats.org/drawingml/2006/main">
              <a:srgbClr val="876fa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Deudas'!$G$20</f>
              <numCache>
                <formatCode>General</formatCode>
                <ptCount val="1"/>
              </numCache>
            </numRef>
          </val>
        </ser>
        <ser>
          <idx val="58"/>
          <order val="58"/>
          <spPr>
            <a:solidFill xmlns:a="http://schemas.openxmlformats.org/drawingml/2006/main">
              <a:srgbClr val="5bafc8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Deudas'!$H$20</f>
              <numCache>
                <formatCode>General</formatCode>
                <ptCount val="1"/>
              </numCache>
            </numRef>
          </val>
        </ser>
        <ser>
          <idx val="59"/>
          <order val="59"/>
          <spPr>
            <a:solidFill xmlns:a="http://schemas.openxmlformats.org/drawingml/2006/main">
              <a:srgbClr val="f79b57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Deudas'!$I$20</f>
              <numCache>
                <formatCode>General</formatCode>
                <ptCount val="1"/>
              </numCache>
            </numRef>
          </val>
        </ser>
        <ser>
          <idx val="60"/>
          <order val="60"/>
          <spPr>
            <a:solidFill xmlns:a="http://schemas.openxmlformats.org/drawingml/2006/main">
              <a:srgbClr val="7696c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Deudas'!$J$20</f>
              <numCache>
                <formatCode>General</formatCode>
                <ptCount val="1"/>
              </numCache>
            </numRef>
          </val>
        </ser>
        <ser>
          <idx val="61"/>
          <order val="61"/>
          <spPr>
            <a:solidFill xmlns:a="http://schemas.openxmlformats.org/drawingml/2006/main">
              <a:srgbClr val="c8767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Deudas'!$K$20</f>
              <numCache>
                <formatCode>General</formatCode>
                <ptCount val="1"/>
              </numCache>
            </numRef>
          </val>
        </ser>
        <ser>
          <idx val="62"/>
          <order val="62"/>
          <spPr>
            <a:solidFill xmlns:a="http://schemas.openxmlformats.org/drawingml/2006/main">
              <a:srgbClr val="aac47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Deudas'!$L$20</f>
              <numCache>
                <formatCode>General</formatCode>
                <ptCount val="1"/>
              </numCache>
            </numRef>
          </val>
        </ser>
        <ser>
          <idx val="63"/>
          <order val="63"/>
          <spPr>
            <a:solidFill xmlns:a="http://schemas.openxmlformats.org/drawingml/2006/main">
              <a:srgbClr val="9582af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Deudas'!$M$20</f>
              <numCache>
                <formatCode>General</formatCode>
                <ptCount val="1"/>
              </numCache>
            </numRef>
          </val>
        </ser>
        <ser>
          <idx val="64"/>
          <order val="64"/>
          <spPr>
            <a:solidFill xmlns:a="http://schemas.openxmlformats.org/drawingml/2006/main">
              <a:srgbClr val="74b7c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Deudas'!$N$20</f>
              <numCache>
                <formatCode>General</formatCode>
                <ptCount val="1"/>
              </numCache>
            </numRef>
          </val>
        </ser>
        <ser>
          <idx val="65"/>
          <order val="65"/>
          <spPr>
            <a:solidFill xmlns:a="http://schemas.openxmlformats.org/drawingml/2006/main">
              <a:srgbClr val="f7a67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Deudas'!$B$21</f>
              <numCache>
                <formatCode>General</formatCode>
                <ptCount val="1"/>
              </numCache>
            </numRef>
          </val>
        </ser>
        <ser>
          <idx val="66"/>
          <order val="66"/>
          <spPr>
            <a:solidFill xmlns:a="http://schemas.openxmlformats.org/drawingml/2006/main">
              <a:srgbClr val="88a2c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Deudas'!$C$21</f>
              <numCache>
                <formatCode>General</formatCode>
                <ptCount val="1"/>
              </numCache>
            </numRef>
          </val>
        </ser>
        <ser>
          <idx val="67"/>
          <order val="67"/>
          <spPr>
            <a:solidFill xmlns:a="http://schemas.openxmlformats.org/drawingml/2006/main">
              <a:srgbClr val="cd8988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Deudas'!$D$21</f>
              <numCache>
                <formatCode>General</formatCode>
                <ptCount val="1"/>
              </numCache>
            </numRef>
          </val>
        </ser>
        <ser>
          <idx val="68"/>
          <order val="68"/>
          <spPr>
            <a:solidFill xmlns:a="http://schemas.openxmlformats.org/drawingml/2006/main">
              <a:srgbClr val="b3c98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Deudas'!$E$21</f>
              <numCache>
                <formatCode>General</formatCode>
                <ptCount val="1"/>
              </numCache>
            </numRef>
          </val>
        </ser>
        <ser>
          <idx val="69"/>
          <order val="69"/>
          <spPr>
            <a:solidFill xmlns:a="http://schemas.openxmlformats.org/drawingml/2006/main">
              <a:srgbClr val="a192b7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Deudas'!$F$21</f>
              <numCache>
                <formatCode>General</formatCode>
                <ptCount val="1"/>
              </numCache>
            </numRef>
          </val>
        </ser>
        <ser>
          <idx val="70"/>
          <order val="70"/>
          <spPr>
            <a:solidFill xmlns:a="http://schemas.openxmlformats.org/drawingml/2006/main">
              <a:srgbClr val="87bed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Deudas'!$G$21</f>
              <numCache>
                <formatCode>General</formatCode>
                <ptCount val="1"/>
              </numCache>
            </numRef>
          </val>
        </ser>
        <ser>
          <idx val="71"/>
          <order val="71"/>
          <spPr>
            <a:solidFill xmlns:a="http://schemas.openxmlformats.org/drawingml/2006/main">
              <a:srgbClr val="f8af8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Deudas'!$H$21</f>
              <numCache>
                <formatCode>General</formatCode>
                <ptCount val="1"/>
              </numCache>
            </numRef>
          </val>
        </ser>
        <ser>
          <idx val="72"/>
          <order val="72"/>
          <spPr>
            <a:solidFill xmlns:a="http://schemas.openxmlformats.org/drawingml/2006/main">
              <a:srgbClr val="98add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Deudas'!$I$21</f>
              <numCache>
                <formatCode>General</formatCode>
                <ptCount val="1"/>
              </numCache>
            </numRef>
          </val>
        </ser>
        <ser>
          <idx val="73"/>
          <order val="73"/>
          <spPr>
            <a:solidFill xmlns:a="http://schemas.openxmlformats.org/drawingml/2006/main">
              <a:srgbClr val="d29998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Deudas'!$J$21</f>
              <numCache>
                <formatCode>General</formatCode>
                <ptCount val="1"/>
              </numCache>
            </numRef>
          </val>
        </ser>
        <ser>
          <idx val="74"/>
          <order val="74"/>
          <spPr>
            <a:solidFill xmlns:a="http://schemas.openxmlformats.org/drawingml/2006/main">
              <a:srgbClr val="bbcf9c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Deudas'!$K$21</f>
              <numCache>
                <formatCode>General</formatCode>
                <ptCount val="1"/>
              </numCache>
            </numRef>
          </val>
        </ser>
        <ser>
          <idx val="75"/>
          <order val="75"/>
          <spPr>
            <a:solidFill xmlns:a="http://schemas.openxmlformats.org/drawingml/2006/main">
              <a:srgbClr val="ada0bf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Deudas'!$L$21</f>
              <numCache>
                <formatCode>General</formatCode>
                <ptCount val="1"/>
              </numCache>
            </numRef>
          </val>
        </ser>
        <ser>
          <idx val="76"/>
          <order val="76"/>
          <spPr>
            <a:solidFill xmlns:a="http://schemas.openxmlformats.org/drawingml/2006/main">
              <a:srgbClr val="97c5d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Deudas'!$M$21</f>
              <numCache>
                <formatCode>General</formatCode>
                <ptCount val="1"/>
              </numCache>
            </numRef>
          </val>
        </ser>
        <ser>
          <idx val="77"/>
          <order val="77"/>
          <spPr>
            <a:solidFill xmlns:a="http://schemas.openxmlformats.org/drawingml/2006/main">
              <a:srgbClr val="f9b89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Deudas'!$N$21</f>
              <numCache>
                <formatCode>General</formatCode>
                <ptCount val="1"/>
              </numCache>
            </numRef>
          </val>
        </ser>
        <ser>
          <idx val="78"/>
          <order val="78"/>
          <spPr>
            <a:solidFill xmlns:a="http://schemas.openxmlformats.org/drawingml/2006/main">
              <a:srgbClr val="a6b7d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Deudas'!$B$22</f>
              <numCache>
                <formatCode>General</formatCode>
                <ptCount val="1"/>
              </numCache>
            </numRef>
          </val>
        </ser>
        <ser>
          <idx val="79"/>
          <order val="79"/>
          <spPr>
            <a:solidFill xmlns:a="http://schemas.openxmlformats.org/drawingml/2006/main">
              <a:srgbClr val="d7a7a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Deudas'!$C$22</f>
              <numCache>
                <formatCode>General</formatCode>
                <ptCount val="1"/>
              </numCache>
            </numRef>
          </val>
        </ser>
        <ser>
          <idx val="80"/>
          <order val="80"/>
          <spPr>
            <a:solidFill xmlns:a="http://schemas.openxmlformats.org/drawingml/2006/main">
              <a:srgbClr val="c3d4a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Deudas'!$D$22</f>
              <numCache>
                <formatCode>General</formatCode>
                <ptCount val="1"/>
              </numCache>
            </numRef>
          </val>
        </ser>
        <ser>
          <idx val="81"/>
          <order val="81"/>
          <spPr>
            <a:solidFill xmlns:a="http://schemas.openxmlformats.org/drawingml/2006/main">
              <a:srgbClr val="b7acc7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Deudas'!$E$22</f>
              <numCache>
                <formatCode>General</formatCode>
                <ptCount val="1"/>
              </numCache>
            </numRef>
          </val>
        </ser>
        <ser>
          <idx val="82"/>
          <order val="82"/>
          <spPr>
            <a:solidFill xmlns:a="http://schemas.openxmlformats.org/drawingml/2006/main">
              <a:srgbClr val="a5ccd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Deudas'!$F$22</f>
              <numCache>
                <formatCode>General</formatCode>
                <ptCount val="1"/>
              </numCache>
            </numRef>
          </val>
        </ser>
        <ser>
          <idx val="83"/>
          <order val="83"/>
          <spPr>
            <a:solidFill xmlns:a="http://schemas.openxmlformats.org/drawingml/2006/main">
              <a:srgbClr val="f9c1a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Deudas'!$G$22</f>
              <numCache>
                <formatCode>General</formatCode>
                <ptCount val="1"/>
              </numCache>
            </numRef>
          </val>
        </ser>
        <ser>
          <idx val="84"/>
          <order val="84"/>
          <spPr>
            <a:solidFill xmlns:a="http://schemas.openxmlformats.org/drawingml/2006/main">
              <a:srgbClr val="b3c1da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Deudas'!$H$22</f>
              <numCache>
                <formatCode>General</formatCode>
                <ptCount val="1"/>
              </numCache>
            </numRef>
          </val>
        </ser>
        <ser>
          <idx val="85"/>
          <order val="85"/>
          <spPr>
            <a:solidFill xmlns:a="http://schemas.openxmlformats.org/drawingml/2006/main">
              <a:srgbClr val="dcb3b2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Deudas'!$I$22</f>
              <numCache>
                <formatCode>General</formatCode>
                <ptCount val="1"/>
              </numCache>
            </numRef>
          </val>
        </ser>
        <ser>
          <idx val="86"/>
          <order val="86"/>
          <spPr>
            <a:solidFill xmlns:a="http://schemas.openxmlformats.org/drawingml/2006/main">
              <a:srgbClr val="cbd9b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Deudas'!$J$22</f>
              <numCache>
                <formatCode>General</formatCode>
                <ptCount val="1"/>
              </numCache>
            </numRef>
          </val>
        </ser>
        <ser>
          <idx val="87"/>
          <order val="87"/>
          <spPr>
            <a:solidFill xmlns:a="http://schemas.openxmlformats.org/drawingml/2006/main">
              <a:srgbClr val="c1b8c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Deudas'!$K$22</f>
              <numCache>
                <formatCode>General</formatCode>
                <ptCount val="1"/>
              </numCache>
            </numRef>
          </val>
        </ser>
        <ser>
          <idx val="88"/>
          <order val="88"/>
          <spPr>
            <a:solidFill xmlns:a="http://schemas.openxmlformats.org/drawingml/2006/main">
              <a:srgbClr val="b2d2df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Deudas'!$L$22</f>
              <numCache>
                <formatCode>General</formatCode>
                <ptCount val="1"/>
              </numCache>
            </numRef>
          </val>
        </ser>
        <ser>
          <idx val="89"/>
          <order val="89"/>
          <spPr>
            <a:solidFill xmlns:a="http://schemas.openxmlformats.org/drawingml/2006/main">
              <a:srgbClr val="fac9b1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Deudas'!$M$22</f>
              <numCache>
                <formatCode>General</formatCode>
                <ptCount val="1"/>
              </numCache>
            </numRef>
          </val>
        </ser>
        <ser>
          <idx val="90"/>
          <order val="90"/>
          <spPr>
            <a:solidFill xmlns:a="http://schemas.openxmlformats.org/drawingml/2006/main">
              <a:srgbClr val="becadf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Deudas'!$N$22</f>
              <numCache>
                <formatCode>General</formatCode>
                <ptCount val="1"/>
              </numCache>
            </numRef>
          </val>
        </ser>
        <ser>
          <idx val="91"/>
          <order val="91"/>
          <spPr>
            <a:solidFill xmlns:a="http://schemas.openxmlformats.org/drawingml/2006/main">
              <a:srgbClr val="e1bfb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Deudas'!$B$23</f>
              <numCache>
                <formatCode>General</formatCode>
                <ptCount val="1"/>
              </numCache>
            </numRef>
          </val>
        </ser>
        <ser>
          <idx val="92"/>
          <order val="92"/>
          <spPr>
            <a:solidFill xmlns:a="http://schemas.openxmlformats.org/drawingml/2006/main">
              <a:srgbClr val="d2dec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Deudas'!$C$23</f>
              <numCache>
                <formatCode>General</formatCode>
                <ptCount val="1"/>
              </numCache>
            </numRef>
          </val>
        </ser>
        <ser>
          <idx val="93"/>
          <order val="93"/>
          <spPr>
            <a:solidFill xmlns:a="http://schemas.openxmlformats.org/drawingml/2006/main">
              <a:srgbClr val="cac2d5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Deudas'!$D$23</f>
              <numCache>
                <formatCode>General</formatCode>
                <ptCount val="1"/>
              </numCache>
            </numRef>
          </val>
        </ser>
        <ser>
          <idx val="94"/>
          <order val="94"/>
          <spPr>
            <a:solidFill xmlns:a="http://schemas.openxmlformats.org/drawingml/2006/main">
              <a:srgbClr val="bed8e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Deudas'!$E$23</f>
              <numCache>
                <formatCode>General</formatCode>
                <ptCount val="1"/>
              </numCache>
            </numRef>
          </val>
        </ser>
        <ser>
          <idx val="95"/>
          <order val="95"/>
          <spPr>
            <a:solidFill xmlns:a="http://schemas.openxmlformats.org/drawingml/2006/main">
              <a:srgbClr val="fad0bd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Deudas'!$F$23</f>
              <numCache>
                <formatCode>General</formatCode>
                <ptCount val="1"/>
              </numCache>
            </numRef>
          </val>
        </ser>
        <ser>
          <idx val="96"/>
          <order val="96"/>
          <spPr>
            <a:solidFill xmlns:a="http://schemas.openxmlformats.org/drawingml/2006/main">
              <a:srgbClr val="c9d2e4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Deudas'!$G$23</f>
              <numCache>
                <formatCode>General</formatCode>
                <ptCount val="1"/>
              </numCache>
            </numRef>
          </val>
        </ser>
        <ser>
          <idx val="97"/>
          <order val="97"/>
          <spPr>
            <a:solidFill xmlns:a="http://schemas.openxmlformats.org/drawingml/2006/main">
              <a:srgbClr val="e5c9c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Deudas'!$H$23</f>
              <numCache>
                <formatCode>General</formatCode>
                <ptCount val="1"/>
              </numCache>
            </numRef>
          </val>
        </ser>
        <ser>
          <idx val="98"/>
          <order val="98"/>
          <spPr>
            <a:solidFill xmlns:a="http://schemas.openxmlformats.org/drawingml/2006/main">
              <a:srgbClr val="d9e3c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Deudas'!$I$23</f>
              <numCache>
                <formatCode>General</formatCode>
                <ptCount val="1"/>
              </numCache>
            </numRef>
          </val>
        </ser>
        <ser>
          <idx val="99"/>
          <order val="99"/>
          <spPr>
            <a:solidFill xmlns:a="http://schemas.openxmlformats.org/drawingml/2006/main">
              <a:srgbClr val="d2ccdb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Deudas'!$J$23</f>
              <numCache>
                <formatCode>General</formatCode>
                <ptCount val="1"/>
              </numCache>
            </numRef>
          </val>
        </ser>
        <ser>
          <idx val="100"/>
          <order val="100"/>
          <spPr>
            <a:solidFill xmlns:a="http://schemas.openxmlformats.org/drawingml/2006/main">
              <a:srgbClr val="c9dee7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Deudas'!$K$23</f>
              <numCache>
                <formatCode>General</formatCode>
                <ptCount val="1"/>
              </numCache>
            </numRef>
          </val>
        </ser>
        <ser>
          <idx val="101"/>
          <order val="101"/>
          <spPr>
            <a:solidFill xmlns:a="http://schemas.openxmlformats.org/drawingml/2006/main">
              <a:srgbClr val="fbd8c8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Deudas'!$L$23</f>
              <numCache>
                <formatCode>General</formatCode>
                <ptCount val="1"/>
              </numCache>
            </numRef>
          </val>
        </ser>
        <ser>
          <idx val="102"/>
          <order val="102"/>
          <spPr>
            <a:solidFill xmlns:a="http://schemas.openxmlformats.org/drawingml/2006/main">
              <a:srgbClr val="d3dae9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Deudas'!$M$23</f>
              <numCache>
                <formatCode>General</formatCode>
                <ptCount val="1"/>
              </numCache>
            </numRef>
          </val>
        </ser>
        <ser>
          <idx val="103"/>
          <order val="103"/>
          <spPr>
            <a:solidFill xmlns:a="http://schemas.openxmlformats.org/drawingml/2006/main">
              <a:srgbClr val="ead3d3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5,474.04 €</v>
                  </pt>
                </lvl>
                <lvl>
                  <pt idx="0">
                    <v>5,971.68 €</v>
                  </pt>
                </lvl>
                <lvl>
                  <pt idx="0">
                    <v>6,469.32 €</v>
                  </pt>
                </lvl>
                <lvl>
                  <pt idx="0">
                    <v>6,966.96 €</v>
                  </pt>
                </lvl>
                <lvl>
                  <pt idx="0">
                    <v>7,464.60 €</v>
                  </pt>
                </lvl>
                <lvl>
                  <pt idx="0">
                    <v>7,962.24 €</v>
                  </pt>
                </lvl>
                <lvl>
                  <pt idx="0">
                    <v>8,459.88 €</v>
                  </pt>
                </lvl>
                <lvl>
                  <pt idx="0">
                    <v>8,957.52 €</v>
                  </pt>
                </lvl>
                <lvl>
                  <pt idx="0">
                    <v>9,455.16 €</v>
                  </pt>
                </lvl>
                <lvl>
                  <pt idx="0">
                    <v>9,952.80 €</v>
                  </pt>
                </lvl>
                <lvl>
                  <pt idx="0">
                    <v>10,450.44 €</v>
                  </pt>
                </lvl>
                <lvl>
                  <pt idx="0">
                    <v>10,948.08 €</v>
                  </pt>
                </lvl>
                <lvl>
                  <pt idx="0">
                    <v>11,445.72 €</v>
                  </pt>
                </lvl>
              </multiLvlStrCache>
              <f>'📊 Evolución Deudas'!$B$15:$N$15</f>
            </multiLvlStrRef>
          </cat>
          <val>
            <numRef>
              <f>'📊 Evolución Deudas'!$N$23</f>
              <numCache>
                <formatCode>General</formatCode>
                <ptCount val="1"/>
              </numCache>
            </numRef>
          </val>
        </ser>
        <gapWidth val="150"/>
        <overlap val="100"/>
        <axId val="79984481"/>
        <axId val="2978220"/>
      </barChart>
      <catAx>
        <axId val="7998448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978220"/>
        <crosses val="autoZero"/>
        <auto val="1"/>
        <lblAlgn val="ctr"/>
        <lblOffset val="100"/>
        <noMultiLvlLbl val="0"/>
      </catAx>
      <valAx>
        <axId val="297822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Saldo (€)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.00&quot; €&quot;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7998448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37</row>
      <rowOff>156240</rowOff>
    </from>
    <to>
      <col>5</col>
      <colOff>261720</colOff>
      <row>64</row>
      <rowOff>52200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25</row>
      <rowOff>78120</rowOff>
    </from>
    <to>
      <col>7</col>
      <colOff>290520</colOff>
      <row>51</row>
      <rowOff>163440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11</col>
      <colOff>0</colOff>
      <row>25</row>
      <rowOff>78120</rowOff>
    </from>
    <to>
      <col>21</col>
      <colOff>380520</colOff>
      <row>51</row>
      <rowOff>163440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8" customWidth="1" style="136" min="1" max="1"/>
    <col width="12" customWidth="1" style="136" min="2" max="2"/>
    <col width="15" customWidth="1" style="136" min="3" max="3"/>
    <col width="14" customWidth="1" style="136" min="4" max="4"/>
    <col width="12" customWidth="1" style="136" min="5" max="5"/>
    <col width="10" customWidth="1" style="136" min="6" max="6"/>
    <col width="14" customWidth="1" style="136" min="7" max="7"/>
    <col width="25" customWidth="1" style="136" min="8" max="8"/>
  </cols>
  <sheetData>
    <row r="1" ht="31.5" customHeight="1" s="137">
      <c r="A1" s="138" t="inlineStr">
        <is>
          <t>📅 CALENDARIO DE PAGOS MENSUALES - ALERTAS AUTOMÁTICAS</t>
        </is>
      </c>
    </row>
    <row r="2" ht="15.75" customHeight="1" s="137">
      <c r="A2" s="139" t="inlineStr">
        <is>
          <t>⚠️ Las celdas en ROJO = pago vencido | NARANJA = vence en 3 días | VERDE = pagado | AMARILLO = próximo</t>
        </is>
      </c>
    </row>
    <row r="3" ht="21.75" customHeight="1" s="137">
      <c r="A3" s="140" t="inlineStr">
        <is>
          <t>Concepto</t>
        </is>
      </c>
      <c r="B3" s="140" t="inlineStr">
        <is>
          <t>Día de cobro</t>
        </is>
      </c>
      <c r="C3" s="140" t="inlineStr">
        <is>
          <t>Importe (€)</t>
        </is>
      </c>
      <c r="D3" s="140" t="inlineStr">
        <is>
          <t>Categoría</t>
        </is>
      </c>
      <c r="E3" s="140" t="inlineStr">
        <is>
          <t>Estado</t>
        </is>
      </c>
      <c r="F3" s="140" t="inlineStr">
        <is>
          <t>¿Pagado?</t>
        </is>
      </c>
      <c r="G3" s="140" t="inlineStr">
        <is>
          <t>Fecha pago real</t>
        </is>
      </c>
      <c r="H3" s="140" t="inlineStr">
        <is>
          <t>Observaciones</t>
        </is>
      </c>
    </row>
    <row r="4" ht="15" customHeight="1" s="137">
      <c r="A4" s="141" t="inlineStr">
        <is>
          <t>Cuota Préstamo 850922737-1</t>
        </is>
      </c>
      <c r="B4" s="142" t="n">
        <v>7</v>
      </c>
      <c r="C4" s="143" t="n">
        <v>-711.48</v>
      </c>
      <c r="D4" s="141" t="inlineStr">
        <is>
          <t>Préstamo</t>
        </is>
      </c>
      <c r="E4" s="141" t="inlineStr">
        <is>
          <t>FIJO</t>
        </is>
      </c>
      <c r="F4" s="144" t="inlineStr">
        <is>
          <t>NO</t>
        </is>
      </c>
      <c r="G4" s="145" t="n"/>
      <c r="H4" s="141" t="inlineStr">
        <is>
          <t>✅ Faltan 12 días</t>
        </is>
      </c>
    </row>
    <row r="5" ht="15" customHeight="1" s="137">
      <c r="A5" s="146" t="inlineStr">
        <is>
          <t>Cuota Préstamo 853198848-9</t>
        </is>
      </c>
      <c r="B5" s="147" t="n">
        <v>3</v>
      </c>
      <c r="C5" s="148" t="n">
        <v>-146.45</v>
      </c>
      <c r="D5" s="146" t="inlineStr">
        <is>
          <t>Préstamo</t>
        </is>
      </c>
      <c r="E5" s="146" t="inlineStr">
        <is>
          <t>FIJO</t>
        </is>
      </c>
      <c r="F5" s="149" t="inlineStr">
        <is>
          <t>NO</t>
        </is>
      </c>
      <c r="G5" s="145" t="n"/>
      <c r="H5" s="146" t="inlineStr">
        <is>
          <t>✅ Faltan 8 días</t>
        </is>
      </c>
    </row>
    <row r="6" ht="15" customHeight="1" s="137">
      <c r="A6" s="150" t="inlineStr">
        <is>
          <t>Liquidación Visa Dual ...80369</t>
        </is>
      </c>
      <c r="B6" s="151" t="n">
        <v>1</v>
      </c>
      <c r="C6" s="152" t="n">
        <v>-490</v>
      </c>
      <c r="D6" s="150" t="inlineStr">
        <is>
          <t>Tarjeta</t>
        </is>
      </c>
      <c r="E6" s="150" t="inlineStr">
        <is>
          <t>VARIABLE</t>
        </is>
      </c>
      <c r="F6" s="153" t="inlineStr">
        <is>
          <t>NO</t>
        </is>
      </c>
      <c r="G6" s="145" t="n"/>
      <c r="H6" s="150" t="inlineStr">
        <is>
          <t>🟡 Vence en 6 días</t>
        </is>
      </c>
    </row>
    <row r="7" ht="15" customHeight="1" s="137">
      <c r="A7" s="150" t="inlineStr">
        <is>
          <t>Liquidación Visa Dual ...80419</t>
        </is>
      </c>
      <c r="B7" s="151" t="n">
        <v>1</v>
      </c>
      <c r="C7" s="152" t="n">
        <v>-900</v>
      </c>
      <c r="D7" s="150" t="inlineStr">
        <is>
          <t>Tarjeta</t>
        </is>
      </c>
      <c r="E7" s="150" t="inlineStr">
        <is>
          <t>VARIABLE</t>
        </is>
      </c>
      <c r="F7" s="153" t="inlineStr">
        <is>
          <t>NO</t>
        </is>
      </c>
      <c r="G7" s="145" t="n"/>
      <c r="H7" s="150" t="inlineStr">
        <is>
          <t>🟡 Vence en 6 días</t>
        </is>
      </c>
    </row>
    <row r="8" ht="15" customHeight="1" s="137">
      <c r="A8" s="141" t="inlineStr">
        <is>
          <t>Banco Cetelem (recibo 1)</t>
        </is>
      </c>
      <c r="B8" s="142" t="n">
        <v>5</v>
      </c>
      <c r="C8" s="143" t="n">
        <v>-497.64</v>
      </c>
      <c r="D8" s="141" t="inlineStr">
        <is>
          <t>Financiación</t>
        </is>
      </c>
      <c r="E8" s="141" t="inlineStr">
        <is>
          <t>FIJO</t>
        </is>
      </c>
      <c r="F8" s="144" t="inlineStr">
        <is>
          <t>NO</t>
        </is>
      </c>
      <c r="G8" s="145" t="n"/>
      <c r="H8" s="141" t="inlineStr">
        <is>
          <t>✅ Faltan 10 días</t>
        </is>
      </c>
    </row>
    <row r="9" ht="15" customHeight="1" s="137">
      <c r="A9" s="146" t="inlineStr">
        <is>
          <t>Banco Cetelem (recibo 2)</t>
        </is>
      </c>
      <c r="B9" s="147" t="n">
        <v>5</v>
      </c>
      <c r="C9" s="148" t="n">
        <v>-245.32</v>
      </c>
      <c r="D9" s="146" t="inlineStr">
        <is>
          <t>Financiación</t>
        </is>
      </c>
      <c r="E9" s="146" t="inlineStr">
        <is>
          <t>FIJO</t>
        </is>
      </c>
      <c r="F9" s="149" t="inlineStr">
        <is>
          <t>NO</t>
        </is>
      </c>
      <c r="G9" s="145" t="n"/>
      <c r="H9" s="146" t="inlineStr">
        <is>
          <t>✅ Faltan 10 días</t>
        </is>
      </c>
    </row>
    <row r="10" ht="15" customHeight="1" s="137">
      <c r="A10" s="146" t="inlineStr">
        <is>
          <t>Kutxabank Seg. Vida (1)</t>
        </is>
      </c>
      <c r="B10" s="147" t="n">
        <v>5</v>
      </c>
      <c r="C10" s="148" t="n">
        <v>-20</v>
      </c>
      <c r="D10" s="146" t="inlineStr">
        <is>
          <t>Seguro</t>
        </is>
      </c>
      <c r="E10" s="146" t="inlineStr">
        <is>
          <t>FIJO</t>
        </is>
      </c>
      <c r="F10" s="149" t="inlineStr">
        <is>
          <t>NO</t>
        </is>
      </c>
      <c r="G10" s="145" t="n"/>
      <c r="H10" s="146" t="inlineStr">
        <is>
          <t>✅ Faltan 10 días</t>
        </is>
      </c>
    </row>
    <row r="11" ht="15" customHeight="1" s="137">
      <c r="A11" s="141" t="inlineStr">
        <is>
          <t>Kutxabank Seg. Vida (2)</t>
        </is>
      </c>
      <c r="B11" s="142" t="n">
        <v>5</v>
      </c>
      <c r="C11" s="143" t="n">
        <v>-15</v>
      </c>
      <c r="D11" s="141" t="inlineStr">
        <is>
          <t>Seguro</t>
        </is>
      </c>
      <c r="E11" s="141" t="inlineStr">
        <is>
          <t>FIJO</t>
        </is>
      </c>
      <c r="F11" s="144" t="inlineStr">
        <is>
          <t>NO</t>
        </is>
      </c>
      <c r="G11" s="145" t="n"/>
      <c r="H11" s="141" t="inlineStr">
        <is>
          <t>✅ Faltan 10 días</t>
        </is>
      </c>
    </row>
    <row r="12" ht="15" customHeight="1" s="137">
      <c r="A12" s="146" t="inlineStr">
        <is>
          <t>Basic-Fit Madrid</t>
        </is>
      </c>
      <c r="B12" s="147" t="n">
        <v>4</v>
      </c>
      <c r="C12" s="148" t="n">
        <v>-24.99</v>
      </c>
      <c r="D12" s="146" t="inlineStr">
        <is>
          <t>Gimnasio</t>
        </is>
      </c>
      <c r="E12" s="146" t="inlineStr">
        <is>
          <t>FIJO</t>
        </is>
      </c>
      <c r="F12" s="149" t="inlineStr">
        <is>
          <t>NO</t>
        </is>
      </c>
      <c r="G12" s="145" t="n"/>
      <c r="H12" s="146" t="inlineStr">
        <is>
          <t>✅ Faltan 9 días</t>
        </is>
      </c>
    </row>
    <row r="13" ht="15" customHeight="1" s="137">
      <c r="A13" s="141" t="inlineStr">
        <is>
          <t>ChatGPT / OpenAI</t>
        </is>
      </c>
      <c r="B13" s="142" t="n">
        <v>12</v>
      </c>
      <c r="C13" s="143" t="n">
        <v>-23</v>
      </c>
      <c r="D13" s="141" t="inlineStr">
        <is>
          <t>Suscripción</t>
        </is>
      </c>
      <c r="E13" s="141" t="inlineStr">
        <is>
          <t>FIJO</t>
        </is>
      </c>
      <c r="F13" s="144" t="inlineStr">
        <is>
          <t>NO</t>
        </is>
      </c>
      <c r="G13" s="145" t="n"/>
      <c r="H13" s="141" t="inlineStr">
        <is>
          <t>✅ Faltan 17 días</t>
        </is>
      </c>
    </row>
    <row r="14" ht="15" customHeight="1" s="137">
      <c r="A14" s="150" t="inlineStr">
        <is>
          <t>Cursor AI</t>
        </is>
      </c>
      <c r="B14" s="151" t="n">
        <v>1</v>
      </c>
      <c r="C14" s="152" t="n">
        <v>-17.5</v>
      </c>
      <c r="D14" s="150" t="inlineStr">
        <is>
          <t>Suscripción</t>
        </is>
      </c>
      <c r="E14" s="150" t="inlineStr">
        <is>
          <t>FIJO</t>
        </is>
      </c>
      <c r="F14" s="153" t="inlineStr">
        <is>
          <t>NO</t>
        </is>
      </c>
      <c r="G14" s="145" t="n"/>
      <c r="H14" s="150" t="inlineStr">
        <is>
          <t>🟡 Vence en 6 días</t>
        </is>
      </c>
    </row>
    <row r="15" ht="15" customHeight="1" s="137">
      <c r="A15" s="141" t="inlineStr">
        <is>
          <t>IONOS Cloud</t>
        </is>
      </c>
      <c r="B15" s="142" t="n">
        <v>3</v>
      </c>
      <c r="C15" s="143" t="n">
        <v>-6.5</v>
      </c>
      <c r="D15" s="141" t="inlineStr">
        <is>
          <t>Suscripción</t>
        </is>
      </c>
      <c r="E15" s="141" t="inlineStr">
        <is>
          <t>FIJO</t>
        </is>
      </c>
      <c r="F15" s="144" t="inlineStr">
        <is>
          <t>NO</t>
        </is>
      </c>
      <c r="G15" s="145" t="n"/>
      <c r="H15" s="141" t="inlineStr">
        <is>
          <t>✅ Faltan 8 días</t>
        </is>
      </c>
    </row>
    <row r="16" ht="15" customHeight="1" s="137">
      <c r="A16" s="146" t="inlineStr">
        <is>
          <t>Disney Plus</t>
        </is>
      </c>
      <c r="B16" s="147" t="n">
        <v>10</v>
      </c>
      <c r="C16" s="148" t="n">
        <v>-6.99</v>
      </c>
      <c r="D16" s="146" t="inlineStr">
        <is>
          <t>Suscripción</t>
        </is>
      </c>
      <c r="E16" s="146" t="inlineStr">
        <is>
          <t>FIJO</t>
        </is>
      </c>
      <c r="F16" s="149" t="inlineStr">
        <is>
          <t>NO</t>
        </is>
      </c>
      <c r="G16" s="145" t="n"/>
      <c r="H16" s="146" t="inlineStr">
        <is>
          <t>✅ Faltan 15 días</t>
        </is>
      </c>
    </row>
    <row r="17" ht="15" customHeight="1" s="137">
      <c r="A17" s="141" t="inlineStr">
        <is>
          <t>Traspaso cuenta 911341954</t>
        </is>
      </c>
      <c r="B17" s="142" t="n">
        <v>10</v>
      </c>
      <c r="C17" s="143" t="n">
        <v>-8.99</v>
      </c>
      <c r="D17" s="141" t="inlineStr">
        <is>
          <t>Traspaso</t>
        </is>
      </c>
      <c r="E17" s="141" t="inlineStr">
        <is>
          <t>FIJO</t>
        </is>
      </c>
      <c r="F17" s="144" t="inlineStr">
        <is>
          <t>NO</t>
        </is>
      </c>
      <c r="G17" s="145" t="n"/>
      <c r="H17" s="141" t="inlineStr">
        <is>
          <t>✅ Faltan 15 días</t>
        </is>
      </c>
    </row>
    <row r="18" ht="15" customHeight="1" s="137">
      <c r="A18" s="146" t="inlineStr">
        <is>
          <t>UTESLAR (recibo)</t>
        </is>
      </c>
      <c r="B18" s="147" t="n">
        <v>17</v>
      </c>
      <c r="C18" s="148" t="n">
        <v>-20</v>
      </c>
      <c r="D18" s="146" t="inlineStr">
        <is>
          <t>Recibo</t>
        </is>
      </c>
      <c r="E18" s="146" t="inlineStr">
        <is>
          <t>MENSUAL</t>
        </is>
      </c>
      <c r="F18" s="149" t="inlineStr">
        <is>
          <t>NO</t>
        </is>
      </c>
      <c r="G18" s="145" t="n"/>
      <c r="H18" s="146" t="inlineStr">
        <is>
          <t>✅ Faltan 22 días</t>
        </is>
      </c>
    </row>
    <row r="19" ht="15" customHeight="1" s="137">
      <c r="A19" s="141" t="inlineStr">
        <is>
          <t>Recibo Ayto. Logroño</t>
        </is>
      </c>
      <c r="B19" s="142" t="n">
        <v>5</v>
      </c>
      <c r="C19" s="143" t="n">
        <v>-76.67</v>
      </c>
      <c r="D19" s="141" t="inlineStr">
        <is>
          <t>Impuesto</t>
        </is>
      </c>
      <c r="E19" s="141" t="inlineStr">
        <is>
          <t>TRIMESTRAL</t>
        </is>
      </c>
      <c r="F19" s="144" t="inlineStr">
        <is>
          <t>NO</t>
        </is>
      </c>
      <c r="G19" s="145" t="n"/>
      <c r="H19" s="141" t="inlineStr">
        <is>
          <t>✅ Faltan 10 días</t>
        </is>
      </c>
    </row>
    <row r="20" ht="15" customHeight="1" s="137">
      <c r="A20" s="150" t="inlineStr">
        <is>
          <t>Amazon Prime</t>
        </is>
      </c>
      <c r="B20" s="151" t="n">
        <v>1</v>
      </c>
      <c r="C20" s="152" t="n">
        <v>-9.99</v>
      </c>
      <c r="D20" s="150" t="inlineStr">
        <is>
          <t>Suscripción</t>
        </is>
      </c>
      <c r="E20" s="150" t="inlineStr">
        <is>
          <t>FIJO</t>
        </is>
      </c>
      <c r="F20" s="153" t="inlineStr">
        <is>
          <t>NO</t>
        </is>
      </c>
      <c r="G20" s="145" t="n"/>
      <c r="H20" s="150" t="inlineStr">
        <is>
          <t>🟡 Vence en 6 días</t>
        </is>
      </c>
    </row>
    <row r="21" ht="15" customHeight="1" s="137">
      <c r="A21" s="154" t="inlineStr">
        <is>
          <t>TOTAL MENSUAL ESTIMADO</t>
        </is>
      </c>
      <c r="B21" s="155" t="n"/>
      <c r="C21" s="156">
        <f>SUM(B4:B20)</f>
        <v/>
      </c>
      <c r="D21" s="155" t="n"/>
      <c r="E21" s="155" t="n"/>
      <c r="F21" s="155" t="n"/>
      <c r="G21" s="155" t="n"/>
      <c r="H21" s="155" t="n"/>
    </row>
    <row r="22" ht="15" customHeight="1" s="137"/>
    <row r="23" ht="18" customHeight="1" s="137"/>
    <row r="24" ht="24" customHeight="1" s="13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3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0" customWidth="1" style="136" min="1" max="1"/>
    <col width="12" customWidth="1" style="136" min="2" max="16"/>
  </cols>
  <sheetData>
    <row r="1" ht="34.5" customHeight="1" s="137">
      <c r="A1" s="157" t="inlineStr">
        <is>
          <t>💳 RESUMEN DE GASTOS — VISA DUAL (Jul 2025 – Ene 2026)</t>
        </is>
      </c>
    </row>
    <row r="2" ht="18" customHeight="1" s="137">
      <c r="A2" s="158" t="inlineStr">
        <is>
          <t>📊 Desglose por categoría y mes | Solo meses con datos disponibles</t>
        </is>
      </c>
    </row>
    <row r="4" ht="15" customHeight="1" s="137">
      <c r="A4" s="159" t="inlineStr">
        <is>
          <t>Categoría</t>
        </is>
      </c>
      <c r="B4" s="159" t="inlineStr">
        <is>
          <t>Jul-25</t>
        </is>
      </c>
      <c r="C4" s="159" t="inlineStr">
        <is>
          <t>Ago-25</t>
        </is>
      </c>
      <c r="D4" s="159" t="inlineStr">
        <is>
          <t>Sep-25</t>
        </is>
      </c>
      <c r="E4" s="159" t="inlineStr">
        <is>
          <t>Oct-25</t>
        </is>
      </c>
      <c r="F4" s="159" t="inlineStr">
        <is>
          <t>Nov-25</t>
        </is>
      </c>
      <c r="G4" s="159" t="inlineStr">
        <is>
          <t>Dic-25</t>
        </is>
      </c>
      <c r="H4" s="159" t="inlineStr">
        <is>
          <t>Ene-26</t>
        </is>
      </c>
      <c r="I4" s="160" t="inlineStr">
        <is>
          <t>TOTAL</t>
        </is>
      </c>
      <c r="J4" s="160" t="inlineStr">
        <is>
          <t>% del total</t>
        </is>
      </c>
    </row>
    <row r="5" ht="19.5" customHeight="1" s="137">
      <c r="A5" s="161" t="inlineStr">
        <is>
          <t>🛒 Supermercados</t>
        </is>
      </c>
      <c r="B5" s="162" t="n">
        <v>-179.58</v>
      </c>
      <c r="C5" s="162" t="n">
        <v>-418.68</v>
      </c>
      <c r="D5" s="162" t="n">
        <v>-240.78</v>
      </c>
      <c r="E5" s="162" t="n">
        <v>-196.17</v>
      </c>
      <c r="F5" s="162" t="n">
        <v>-270.92</v>
      </c>
      <c r="G5" s="162" t="n">
        <v>-200</v>
      </c>
      <c r="H5" s="162" t="n">
        <v>-250</v>
      </c>
      <c r="I5" s="163">
        <f>SUM(B5:H5)</f>
        <v/>
      </c>
      <c r="J5" s="164">
        <f>I5/SUM(I$5:I$14)</f>
        <v/>
      </c>
    </row>
    <row r="6" ht="19.5" customHeight="1" s="137">
      <c r="A6" s="165" t="inlineStr">
        <is>
          <t>🍽️ Restaurantes / Cafés</t>
        </is>
      </c>
      <c r="B6" s="166" t="n">
        <v>-78.59</v>
      </c>
      <c r="C6" s="166" t="n">
        <v>-48.2</v>
      </c>
      <c r="D6" s="166" t="n">
        <v>-99.56999999999999</v>
      </c>
      <c r="E6" s="166" t="n">
        <v>-17.4</v>
      </c>
      <c r="F6" s="166" t="n">
        <v>-41.7</v>
      </c>
      <c r="G6" s="166" t="n">
        <v>-25.15</v>
      </c>
      <c r="H6" s="166" t="n">
        <v>-65</v>
      </c>
      <c r="I6" s="167">
        <f>SUM(B6:H6)</f>
        <v/>
      </c>
      <c r="J6" s="168">
        <f>I6/SUM(I$5:I$14)</f>
        <v/>
      </c>
    </row>
    <row r="7" ht="19.5" customHeight="1" s="137">
      <c r="A7" s="169" t="inlineStr">
        <is>
          <t>⛽ Combustible / Transporte</t>
        </is>
      </c>
      <c r="B7" s="170" t="n">
        <v>-15.5</v>
      </c>
      <c r="C7" s="170" t="n">
        <v>-12.89</v>
      </c>
      <c r="D7" s="170" t="n">
        <v>-53.15</v>
      </c>
      <c r="E7" s="170" t="n">
        <v>-20.4</v>
      </c>
      <c r="F7" s="170" t="n">
        <v>-39</v>
      </c>
      <c r="G7" s="170" t="n">
        <v>-6</v>
      </c>
      <c r="H7" s="170" t="n">
        <v>-10</v>
      </c>
      <c r="I7" s="171">
        <f>SUM(B7:H7)</f>
        <v/>
      </c>
      <c r="J7" s="172">
        <f>I7/SUM(I$5:I$14)</f>
        <v/>
      </c>
    </row>
    <row r="8" ht="19.5" customHeight="1" s="137">
      <c r="A8" s="173" t="inlineStr">
        <is>
          <t>💻 Tecnología / Suscripciones</t>
        </is>
      </c>
      <c r="B8" s="174" t="n">
        <v>-106.55</v>
      </c>
      <c r="C8" s="174" t="n">
        <v>-126.16</v>
      </c>
      <c r="D8" s="174" t="n">
        <v>-313.06</v>
      </c>
      <c r="E8" s="174" t="n">
        <v>-89.16</v>
      </c>
      <c r="F8" s="174" t="n">
        <v>-99.77</v>
      </c>
      <c r="G8" s="174" t="n">
        <v>-115</v>
      </c>
      <c r="H8" s="174" t="n">
        <v>-110</v>
      </c>
      <c r="I8" s="175">
        <f>SUM(B8:H8)</f>
        <v/>
      </c>
      <c r="J8" s="176">
        <f>I8/SUM(I$5:I$14)</f>
        <v/>
      </c>
    </row>
    <row r="9" ht="19.5" customHeight="1" s="137">
      <c r="A9" s="177" t="inlineStr">
        <is>
          <t>👗 Ropa / Compras</t>
        </is>
      </c>
      <c r="B9" s="178" t="n">
        <v>-71.25</v>
      </c>
      <c r="C9" s="179" t="n"/>
      <c r="D9" s="179" t="n"/>
      <c r="E9" s="179" t="n"/>
      <c r="F9" s="178" t="n">
        <v>-5.39</v>
      </c>
      <c r="G9" s="178" t="n">
        <v>-13.97</v>
      </c>
      <c r="H9" s="178" t="n">
        <v>-115.57</v>
      </c>
      <c r="I9" s="180">
        <f>SUM(B9:H9)</f>
        <v/>
      </c>
      <c r="J9" s="181">
        <f>I9/SUM(I$5:I$14)</f>
        <v/>
      </c>
    </row>
    <row r="10" ht="19.5" customHeight="1" s="137">
      <c r="A10" s="182" t="inlineStr">
        <is>
          <t>🏠 Hogar / Bricolaje</t>
        </is>
      </c>
      <c r="B10" s="179" t="n"/>
      <c r="C10" s="183" t="n">
        <v>-12.3</v>
      </c>
      <c r="D10" s="183" t="n">
        <v>-60.19</v>
      </c>
      <c r="E10" s="183" t="n">
        <v>-16.58</v>
      </c>
      <c r="F10" s="183" t="n">
        <v>-36.2</v>
      </c>
      <c r="G10" s="183" t="n">
        <v>-11</v>
      </c>
      <c r="H10" s="183" t="n">
        <v>-17.55</v>
      </c>
      <c r="I10" s="184">
        <f>SUM(B10:H10)</f>
        <v/>
      </c>
      <c r="J10" s="185">
        <f>I10/SUM(I$5:I$14)</f>
        <v/>
      </c>
    </row>
    <row r="11" ht="19.5" customHeight="1" s="137">
      <c r="A11" s="186" t="inlineStr">
        <is>
          <t>💊 Salud / Farmacia</t>
        </is>
      </c>
      <c r="B11" s="187" t="n">
        <v>-2.4</v>
      </c>
      <c r="C11" s="187" t="n">
        <v>-5.6</v>
      </c>
      <c r="D11" s="187" t="n">
        <v>-69.2</v>
      </c>
      <c r="E11" s="187" t="n">
        <v>-28.9</v>
      </c>
      <c r="F11" s="187" t="n">
        <v>-13.25</v>
      </c>
      <c r="G11" s="179" t="n"/>
      <c r="H11" s="179" t="n"/>
      <c r="I11" s="188">
        <f>SUM(B11:H11)</f>
        <v/>
      </c>
      <c r="J11" s="189">
        <f>I11/SUM(I$5:I$14)</f>
        <v/>
      </c>
    </row>
    <row r="12" ht="19.5" customHeight="1" s="137">
      <c r="A12" s="190" t="inlineStr">
        <is>
          <t>🐾 Mascotas</t>
        </is>
      </c>
      <c r="B12" s="179" t="n"/>
      <c r="C12" s="179" t="n"/>
      <c r="D12" s="179" t="n"/>
      <c r="E12" s="179" t="n"/>
      <c r="F12" s="183" t="n">
        <v>-7</v>
      </c>
      <c r="G12" s="179" t="n"/>
      <c r="H12" s="183" t="n">
        <v>-15</v>
      </c>
      <c r="I12" s="184">
        <f>SUM(B12:H12)</f>
        <v/>
      </c>
      <c r="J12" s="191">
        <f>I12/SUM(I$5:I$14)</f>
        <v/>
      </c>
    </row>
    <row r="13" ht="19.5" customHeight="1" s="137">
      <c r="A13" s="192" t="inlineStr">
        <is>
          <t>🎭 Ocio / Lotería</t>
        </is>
      </c>
      <c r="B13" s="179" t="n"/>
      <c r="C13" s="179" t="n"/>
      <c r="D13" s="179" t="n"/>
      <c r="E13" s="179" t="n"/>
      <c r="F13" s="193" t="n">
        <v>-20</v>
      </c>
      <c r="G13" s="179" t="n"/>
      <c r="H13" s="179" t="n"/>
      <c r="I13" s="194">
        <f>SUM(B13:H13)</f>
        <v/>
      </c>
      <c r="J13" s="195">
        <f>I13/SUM(I$5:I$14)</f>
        <v/>
      </c>
    </row>
    <row r="14" ht="19.5" customHeight="1" s="137">
      <c r="A14" s="196" t="inlineStr">
        <is>
          <t>📋 Otros Visa</t>
        </is>
      </c>
      <c r="B14" s="179" t="n"/>
      <c r="C14" s="179" t="n"/>
      <c r="D14" s="179" t="n"/>
      <c r="E14" s="197" t="n">
        <v>-27</v>
      </c>
      <c r="F14" s="197" t="n">
        <v>-33.64</v>
      </c>
      <c r="G14" s="197" t="n">
        <v>-9.380000000000001</v>
      </c>
      <c r="H14" s="197" t="n">
        <v>-9.09</v>
      </c>
      <c r="I14" s="198">
        <f>SUM(B14:H14)</f>
        <v/>
      </c>
      <c r="J14" s="199">
        <f>I14/SUM(I$5:I$14)</f>
        <v/>
      </c>
    </row>
    <row r="15" ht="21.75" customHeight="1" s="137">
      <c r="A15" s="200" t="inlineStr">
        <is>
          <t>💰 TOTAL GASTOS VISA</t>
        </is>
      </c>
      <c r="B15" s="201">
        <f>SUM(B5:B14)</f>
        <v/>
      </c>
      <c r="C15" s="201">
        <f>SUM(C5:C14)</f>
        <v/>
      </c>
      <c r="D15" s="201">
        <f>SUM(D5:D14)</f>
        <v/>
      </c>
      <c r="E15" s="201">
        <f>SUM(E5:E14)</f>
        <v/>
      </c>
      <c r="F15" s="201">
        <f>SUM(F5:F14)</f>
        <v/>
      </c>
      <c r="G15" s="201">
        <f>SUM(G5:G14)</f>
        <v/>
      </c>
      <c r="H15" s="201">
        <f>SUM(H5:H14)</f>
        <v/>
      </c>
      <c r="I15" s="202" t="n"/>
      <c r="J15" s="200" t="inlineStr">
        <is>
          <t>100.0%</t>
        </is>
      </c>
    </row>
    <row r="18" ht="27.75" customHeight="1" s="137">
      <c r="A18" s="203" t="inlineStr">
        <is>
          <t>🏦 RESUMEN GLOBAL — CUENTA BBK (Ene 2025 – Ene 2026)</t>
        </is>
      </c>
    </row>
    <row r="19" ht="23.85" customHeight="1" s="137">
      <c r="A19" s="204" t="inlineStr">
        <is>
          <t>Categoría BBK</t>
        </is>
      </c>
      <c r="B19" s="204" t="inlineStr">
        <is>
          <t>Ene-25</t>
        </is>
      </c>
      <c r="C19" s="204" t="inlineStr">
        <is>
          <t>Feb-25</t>
        </is>
      </c>
      <c r="D19" s="204" t="inlineStr">
        <is>
          <t>Mar-25</t>
        </is>
      </c>
      <c r="E19" s="204" t="inlineStr">
        <is>
          <t>Abr-25</t>
        </is>
      </c>
      <c r="F19" s="204" t="inlineStr">
        <is>
          <t>May-25</t>
        </is>
      </c>
      <c r="G19" s="204" t="inlineStr">
        <is>
          <t>Jun-25</t>
        </is>
      </c>
      <c r="H19" s="204" t="inlineStr">
        <is>
          <t>Jul-25</t>
        </is>
      </c>
      <c r="I19" s="204" t="inlineStr">
        <is>
          <t>Ago-25</t>
        </is>
      </c>
      <c r="J19" s="204" t="inlineStr">
        <is>
          <t>Sep-25</t>
        </is>
      </c>
      <c r="K19" s="204" t="inlineStr">
        <is>
          <t>Oct-25</t>
        </is>
      </c>
      <c r="L19" s="204" t="inlineStr">
        <is>
          <t>Nov-25</t>
        </is>
      </c>
      <c r="M19" s="204" t="inlineStr">
        <is>
          <t>Dic-25</t>
        </is>
      </c>
      <c r="N19" s="204" t="inlineStr">
        <is>
          <t>Ene-26</t>
        </is>
      </c>
      <c r="O19" s="205" t="inlineStr">
        <is>
          <t>TOTAL ACUM.</t>
        </is>
      </c>
    </row>
    <row r="20" ht="19.5" customHeight="1" s="137">
      <c r="A20" s="161" t="inlineStr">
        <is>
          <t>💳 Tarjetas crédito</t>
        </is>
      </c>
      <c r="B20" s="162" t="n">
        <v>-2251.11</v>
      </c>
      <c r="C20" s="162" t="n">
        <v>-1447.46</v>
      </c>
      <c r="D20" s="162" t="n">
        <v>-1588.6</v>
      </c>
      <c r="E20" s="162" t="n">
        <v>-1525.27</v>
      </c>
      <c r="F20" s="162" t="n">
        <v>-1248.3</v>
      </c>
      <c r="G20" s="162" t="n">
        <v>-542.67</v>
      </c>
      <c r="H20" s="162" t="n">
        <v>-1487.5</v>
      </c>
      <c r="I20" s="162" t="n">
        <v>-1487.5</v>
      </c>
      <c r="J20" s="162" t="n">
        <v>-1503.45</v>
      </c>
      <c r="K20" s="162" t="n">
        <v>-1398.73</v>
      </c>
      <c r="L20" s="162" t="n">
        <v>-1277.63</v>
      </c>
      <c r="M20" s="162" t="n">
        <v>-1414.82</v>
      </c>
      <c r="N20" s="162" t="n">
        <v>-1454.6</v>
      </c>
      <c r="O20" s="163">
        <f>SUM(B20:N20)</f>
        <v/>
      </c>
    </row>
    <row r="21" ht="19.5" customHeight="1" s="137">
      <c r="A21" s="165" t="inlineStr">
        <is>
          <t>🏦 Préstamos</t>
        </is>
      </c>
      <c r="B21" s="179" t="n"/>
      <c r="C21" s="166" t="n">
        <v>-708.33</v>
      </c>
      <c r="D21" s="166" t="n">
        <v>-854.78</v>
      </c>
      <c r="E21" s="166" t="n">
        <v>-854.78</v>
      </c>
      <c r="F21" s="166" t="n">
        <v>-854.78</v>
      </c>
      <c r="G21" s="166" t="n">
        <v>-854.78</v>
      </c>
      <c r="H21" s="166" t="n">
        <v>-708.33</v>
      </c>
      <c r="I21" s="166" t="n">
        <v>-712.17</v>
      </c>
      <c r="J21" s="166" t="n">
        <v>-708.33</v>
      </c>
      <c r="K21" s="166" t="n">
        <v>-708.33</v>
      </c>
      <c r="L21" s="166" t="n">
        <v>-708.48</v>
      </c>
      <c r="M21" s="166" t="n">
        <v>-708.33</v>
      </c>
      <c r="N21" s="166" t="n">
        <v>-708.33</v>
      </c>
      <c r="O21" s="167">
        <f>SUM(B21:N21)</f>
        <v/>
      </c>
    </row>
    <row r="22" ht="19.5" customHeight="1" s="137">
      <c r="A22" s="169" t="inlineStr">
        <is>
          <t>🛒 Carrefour Financ.</t>
        </is>
      </c>
      <c r="B22" s="170" t="n">
        <v>-707.55</v>
      </c>
      <c r="C22" s="170" t="n">
        <v>-772.65</v>
      </c>
      <c r="D22" s="170" t="n">
        <v>-772.65</v>
      </c>
      <c r="E22" s="170" t="n">
        <v>-902.91</v>
      </c>
      <c r="F22" s="170" t="n">
        <v>-1252.58</v>
      </c>
      <c r="G22" s="170" t="n">
        <v>-854.04</v>
      </c>
      <c r="H22" s="170" t="n">
        <v>-10</v>
      </c>
      <c r="I22" s="179" t="n"/>
      <c r="J22" s="179" t="n"/>
      <c r="K22" s="179" t="n"/>
      <c r="L22" s="179" t="n"/>
      <c r="M22" s="179" t="n"/>
      <c r="N22" s="179" t="n"/>
      <c r="O22" s="171">
        <f>SUM(B22:N22)</f>
        <v/>
      </c>
    </row>
    <row r="23" ht="19.5" customHeight="1" s="137">
      <c r="A23" s="173" t="inlineStr">
        <is>
          <t>🏦 Cetelem</t>
        </is>
      </c>
      <c r="B23" s="179" t="n"/>
      <c r="C23" s="179" t="n"/>
      <c r="D23" s="179" t="n"/>
      <c r="E23" s="174" t="n">
        <v>-546</v>
      </c>
      <c r="F23" s="174" t="n">
        <v>-547.16</v>
      </c>
      <c r="G23" s="174" t="n">
        <v>-547.16</v>
      </c>
      <c r="H23" s="174" t="n">
        <v>-188.79</v>
      </c>
      <c r="I23" s="174" t="n">
        <v>-742.96</v>
      </c>
      <c r="J23" s="174" t="n">
        <v>-742.96</v>
      </c>
      <c r="K23" s="174" t="n">
        <v>-742.96</v>
      </c>
      <c r="L23" s="174" t="n">
        <v>-742.96</v>
      </c>
      <c r="M23" s="174" t="n">
        <v>-742.96</v>
      </c>
      <c r="N23" s="174" t="n">
        <v>-742.96</v>
      </c>
      <c r="O23" s="175">
        <f>SUM(B23:N23)</f>
        <v/>
      </c>
    </row>
    <row r="24" ht="19.5" customHeight="1" s="137">
      <c r="A24" s="177" t="inlineStr">
        <is>
          <t>🛡️ Seguros</t>
        </is>
      </c>
      <c r="B24" s="178" t="n">
        <v>-39.78</v>
      </c>
      <c r="C24" s="178" t="n">
        <v>-34.68</v>
      </c>
      <c r="D24" s="178" t="n">
        <v>-39.64</v>
      </c>
      <c r="E24" s="178" t="n">
        <v>-39.28</v>
      </c>
      <c r="F24" s="178" t="n">
        <v>-39.28</v>
      </c>
      <c r="G24" s="178" t="n">
        <v>-39.09</v>
      </c>
      <c r="H24" s="178" t="n">
        <v>-32.26</v>
      </c>
      <c r="I24" s="178" t="n">
        <v>-32.26</v>
      </c>
      <c r="J24" s="178" t="n">
        <v>-32.11</v>
      </c>
      <c r="K24" s="178" t="n">
        <v>-35.32</v>
      </c>
      <c r="L24" s="178" t="n">
        <v>-35.16</v>
      </c>
      <c r="M24" s="178" t="n">
        <v>-34.99</v>
      </c>
      <c r="N24" s="178" t="n">
        <v>-34.84</v>
      </c>
      <c r="O24" s="180">
        <f>SUM(B24:N24)</f>
        <v/>
      </c>
    </row>
    <row r="25" ht="19.5" customHeight="1" s="137">
      <c r="A25" s="192" t="inlineStr">
        <is>
          <t>💸 Bizum / Traspasos</t>
        </is>
      </c>
      <c r="B25" s="193" t="n">
        <v>-465</v>
      </c>
      <c r="C25" s="193" t="n">
        <v>-615</v>
      </c>
      <c r="D25" s="193" t="n">
        <v>-298</v>
      </c>
      <c r="E25" s="193" t="n">
        <v>-315</v>
      </c>
      <c r="F25" s="193" t="n">
        <v>-1983.52</v>
      </c>
      <c r="G25" s="193" t="n">
        <v>-1750</v>
      </c>
      <c r="H25" s="193" t="n">
        <v>-354.9</v>
      </c>
      <c r="I25" s="193" t="n">
        <v>-20</v>
      </c>
      <c r="J25" s="193" t="n">
        <v>-853</v>
      </c>
      <c r="K25" s="193" t="n">
        <v>-1600</v>
      </c>
      <c r="L25" s="193" t="n">
        <v>-114.39</v>
      </c>
      <c r="M25" s="193" t="n">
        <v>-2245</v>
      </c>
      <c r="N25" s="193" t="n">
        <v>-599</v>
      </c>
      <c r="O25" s="194">
        <f>SUM(B25:N25)</f>
        <v/>
      </c>
    </row>
    <row r="26" ht="19.5" customHeight="1" s="137">
      <c r="A26" s="196" t="inlineStr">
        <is>
          <t>📋 Otros BBK</t>
        </is>
      </c>
      <c r="B26" s="197" t="n">
        <v>-104.03</v>
      </c>
      <c r="C26" s="197" t="n">
        <v>-77.09999999999999</v>
      </c>
      <c r="D26" s="197" t="n">
        <v>-60.65</v>
      </c>
      <c r="E26" s="197" t="n">
        <v>-162.34</v>
      </c>
      <c r="F26" s="197" t="n">
        <v>-30.74</v>
      </c>
      <c r="G26" s="197" t="n">
        <v>-100.77</v>
      </c>
      <c r="H26" s="197" t="n">
        <v>-9.9</v>
      </c>
      <c r="I26" s="197" t="n">
        <v>-9.039999999999999</v>
      </c>
      <c r="J26" s="197" t="n">
        <v>-94.5</v>
      </c>
      <c r="K26" s="197" t="n">
        <v>-43.46</v>
      </c>
      <c r="L26" s="197" t="n">
        <v>-109.44</v>
      </c>
      <c r="M26" s="197" t="n">
        <v>-93.64</v>
      </c>
      <c r="N26" s="197" t="n">
        <v>-0.02</v>
      </c>
      <c r="O26" s="198">
        <f>SUM(B26:N26)</f>
        <v/>
      </c>
    </row>
    <row r="27" ht="21.75" customHeight="1" s="137">
      <c r="A27" s="200" t="inlineStr">
        <is>
          <t>💰 TOTAL GASTOS BBK</t>
        </is>
      </c>
      <c r="B27" s="201">
        <f>SUM(B20:B26)</f>
        <v/>
      </c>
      <c r="C27" s="201">
        <f>SUM(C20:C26)</f>
        <v/>
      </c>
      <c r="D27" s="201">
        <f>SUM(D20:D26)</f>
        <v/>
      </c>
      <c r="E27" s="201">
        <f>SUM(E20:E26)</f>
        <v/>
      </c>
      <c r="F27" s="201">
        <f>SUM(F20:F26)</f>
        <v/>
      </c>
      <c r="G27" s="201">
        <f>SUM(G20:G26)</f>
        <v/>
      </c>
      <c r="H27" s="201">
        <f>SUM(H20:H26)</f>
        <v/>
      </c>
      <c r="I27" s="201">
        <f>SUM(I20:I26)</f>
        <v/>
      </c>
      <c r="J27" s="201">
        <f>SUM(J20:J26)</f>
        <v/>
      </c>
      <c r="K27" s="201">
        <f>SUM(K20:K26)</f>
        <v/>
      </c>
      <c r="L27" s="201">
        <f>SUM(L20:L26)</f>
        <v/>
      </c>
      <c r="M27" s="201">
        <f>SUM(M20:M26)</f>
        <v/>
      </c>
      <c r="N27" s="201">
        <f>SUM(N20:N26)</f>
        <v/>
      </c>
      <c r="O27" s="201">
        <f>SUM(O20:O26)</f>
        <v/>
      </c>
    </row>
    <row r="30" ht="27.75" customHeight="1" s="137">
      <c r="A30" s="206" t="inlineStr">
        <is>
          <t>📈 INGRESOS (Ene 2025 – Ene 2026)</t>
        </is>
      </c>
    </row>
    <row r="31" ht="23.85" customHeight="1" s="137">
      <c r="A31" s="207" t="inlineStr">
        <is>
          <t>Fuente de Ingreso</t>
        </is>
      </c>
      <c r="B31" s="207" t="inlineStr">
        <is>
          <t>Ene-25</t>
        </is>
      </c>
      <c r="C31" s="207" t="inlineStr">
        <is>
          <t>Feb-25</t>
        </is>
      </c>
      <c r="D31" s="207" t="inlineStr">
        <is>
          <t>Mar-25</t>
        </is>
      </c>
      <c r="E31" s="207" t="inlineStr">
        <is>
          <t>Abr-25</t>
        </is>
      </c>
      <c r="F31" s="207" t="inlineStr">
        <is>
          <t>May-25</t>
        </is>
      </c>
      <c r="G31" s="207" t="inlineStr">
        <is>
          <t>Jun-25</t>
        </is>
      </c>
      <c r="H31" s="207" t="inlineStr">
        <is>
          <t>Jul-25</t>
        </is>
      </c>
      <c r="I31" s="207" t="inlineStr">
        <is>
          <t>Ago-25</t>
        </is>
      </c>
      <c r="J31" s="207" t="inlineStr">
        <is>
          <t>Sep-25</t>
        </is>
      </c>
      <c r="K31" s="207" t="inlineStr">
        <is>
          <t>Oct-25</t>
        </is>
      </c>
      <c r="L31" s="207" t="inlineStr">
        <is>
          <t>Nov-25</t>
        </is>
      </c>
      <c r="M31" s="207" t="inlineStr">
        <is>
          <t>Dic-25</t>
        </is>
      </c>
      <c r="N31" s="207" t="inlineStr">
        <is>
          <t>Ene-26</t>
        </is>
      </c>
      <c r="O31" s="208" t="inlineStr">
        <is>
          <t>TOTAL ACUM.</t>
        </is>
      </c>
    </row>
    <row r="32" ht="19.5" customHeight="1" s="137">
      <c r="A32" s="209" t="inlineStr">
        <is>
          <t>💼 Nómina Soc. Riojana</t>
        </is>
      </c>
      <c r="B32" s="210" t="n">
        <v>2472.57</v>
      </c>
      <c r="C32" s="210" t="n">
        <v>2718.19</v>
      </c>
      <c r="D32" s="210" t="n">
        <v>1726.17</v>
      </c>
      <c r="E32" s="210" t="n">
        <v>104.48</v>
      </c>
      <c r="F32" s="210" t="n">
        <v>2138.16</v>
      </c>
      <c r="G32" s="210" t="n">
        <v>4103.67</v>
      </c>
      <c r="H32" s="210" t="n">
        <v>2201.06</v>
      </c>
      <c r="I32" s="210" t="n">
        <v>2616.47</v>
      </c>
      <c r="J32" s="210" t="n">
        <v>2308.07</v>
      </c>
      <c r="K32" s="210" t="n">
        <v>2150.48</v>
      </c>
      <c r="L32" s="210" t="n">
        <v>2058.17</v>
      </c>
      <c r="M32" s="210" t="n">
        <v>4490.72</v>
      </c>
      <c r="N32" s="210" t="n">
        <v>2371.47</v>
      </c>
      <c r="O32" s="211">
        <f>SUM(B32:N32)</f>
        <v/>
      </c>
    </row>
    <row r="33" ht="19.5" customHeight="1" s="137">
      <c r="A33" s="212" t="inlineStr">
        <is>
          <t>📥 OP.NET</t>
        </is>
      </c>
      <c r="B33" s="213" t="n">
        <v>1680</v>
      </c>
      <c r="C33" s="213" t="n">
        <v>650</v>
      </c>
      <c r="D33" s="213" t="n">
        <v>1050</v>
      </c>
      <c r="E33" s="213" t="n">
        <v>1609</v>
      </c>
      <c r="F33" s="213" t="n">
        <v>390</v>
      </c>
      <c r="G33" s="213" t="n">
        <v>1899</v>
      </c>
      <c r="H33" s="213" t="n">
        <v>210</v>
      </c>
      <c r="I33" s="213" t="n">
        <v>210</v>
      </c>
      <c r="J33" s="213" t="n">
        <v>560</v>
      </c>
      <c r="K33" s="179" t="n"/>
      <c r="L33" s="213" t="n">
        <v>670</v>
      </c>
      <c r="M33" s="213" t="n">
        <v>1470</v>
      </c>
      <c r="N33" s="213" t="n">
        <v>1200</v>
      </c>
      <c r="O33" s="214">
        <f>SUM(B33:N33)</f>
        <v/>
      </c>
    </row>
    <row r="34" ht="19.5" customHeight="1" s="137">
      <c r="A34" s="215" t="inlineStr">
        <is>
          <t>💰 Bizum recibidos</t>
        </is>
      </c>
      <c r="B34" s="179" t="n"/>
      <c r="C34" s="179" t="n"/>
      <c r="D34" s="179" t="n"/>
      <c r="E34" s="216" t="n">
        <v>5</v>
      </c>
      <c r="F34" s="216" t="n">
        <v>1000</v>
      </c>
      <c r="G34" s="216" t="n">
        <v>333</v>
      </c>
      <c r="H34" s="216" t="n">
        <v>100</v>
      </c>
      <c r="I34" s="179" t="n"/>
      <c r="J34" s="216" t="n">
        <v>70.55</v>
      </c>
      <c r="K34" s="216" t="n">
        <v>10</v>
      </c>
      <c r="L34" s="216" t="n">
        <v>200</v>
      </c>
      <c r="M34" s="216" t="n">
        <v>5</v>
      </c>
      <c r="N34" s="179" t="n"/>
      <c r="O34" s="217">
        <f>SUM(B34:N34)</f>
        <v/>
      </c>
    </row>
    <row r="35" ht="19.5" customHeight="1" s="137">
      <c r="A35" s="218" t="inlineStr">
        <is>
          <t>💳 Abonos tarjeta</t>
        </is>
      </c>
      <c r="B35" s="179" t="n"/>
      <c r="C35" s="179" t="n"/>
      <c r="D35" s="179" t="n"/>
      <c r="E35" s="179" t="n"/>
      <c r="F35" s="219" t="n">
        <v>173.79</v>
      </c>
      <c r="G35" s="179" t="n"/>
      <c r="H35" s="179" t="n"/>
      <c r="I35" s="219" t="n">
        <v>508.82</v>
      </c>
      <c r="J35" s="219" t="n">
        <v>504.63</v>
      </c>
      <c r="K35" s="219" t="n">
        <v>478.25</v>
      </c>
      <c r="L35" s="219" t="n">
        <v>472.93</v>
      </c>
      <c r="M35" s="219" t="n">
        <v>498.3</v>
      </c>
      <c r="N35" s="219" t="n">
        <v>493.82</v>
      </c>
      <c r="O35" s="220">
        <f>SUM(B35:N35)</f>
        <v/>
      </c>
    </row>
    <row r="36" ht="21.75" customHeight="1" s="137">
      <c r="A36" s="221" t="inlineStr">
        <is>
          <t>💰 TOTAL INGRESOS</t>
        </is>
      </c>
      <c r="B36" s="222">
        <f>SUM(B32:B35)</f>
        <v/>
      </c>
      <c r="C36" s="222">
        <f>SUM(C32:C35)</f>
        <v/>
      </c>
      <c r="D36" s="222">
        <f>SUM(D32:D35)</f>
        <v/>
      </c>
      <c r="E36" s="222">
        <f>SUM(E32:E35)</f>
        <v/>
      </c>
      <c r="F36" s="222">
        <f>SUM(F32:F35)</f>
        <v/>
      </c>
      <c r="G36" s="222">
        <f>SUM(G32:G35)</f>
        <v/>
      </c>
      <c r="H36" s="222">
        <f>SUM(H32:H35)</f>
        <v/>
      </c>
      <c r="I36" s="222">
        <f>SUM(I32:I35)</f>
        <v/>
      </c>
      <c r="J36" s="222">
        <f>SUM(J32:J35)</f>
        <v/>
      </c>
      <c r="K36" s="222">
        <f>SUM(K32:K35)</f>
        <v/>
      </c>
      <c r="L36" s="222">
        <f>SUM(L32:L35)</f>
        <v/>
      </c>
      <c r="M36" s="222">
        <f>SUM(M32:M35)</f>
        <v/>
      </c>
      <c r="N36" s="222">
        <f>SUM(N32:N35)</f>
        <v/>
      </c>
      <c r="O36" s="222">
        <f>SUM(O32:O35)</f>
        <v/>
      </c>
    </row>
    <row r="37" ht="21.75" customHeight="1" s="137">
      <c r="A37" s="223" t="inlineStr">
        <is>
          <t>⚖️ BALANCE NETO</t>
        </is>
      </c>
      <c r="B37" s="224">
        <f>B36+B27</f>
        <v/>
      </c>
      <c r="C37" s="224">
        <f>C36+C27</f>
        <v/>
      </c>
      <c r="D37" s="224">
        <f>D36+D27</f>
        <v/>
      </c>
      <c r="E37" s="224">
        <f>E36+E27</f>
        <v/>
      </c>
      <c r="F37" s="224">
        <f>F36+F27</f>
        <v/>
      </c>
      <c r="G37" s="224">
        <f>G36+G27</f>
        <v/>
      </c>
      <c r="H37" s="224">
        <f>H36+H27</f>
        <v/>
      </c>
      <c r="I37" s="224">
        <f>I36+I27</f>
        <v/>
      </c>
      <c r="J37" s="224">
        <f>J36+J27</f>
        <v/>
      </c>
      <c r="K37" s="224">
        <f>K36+K27</f>
        <v/>
      </c>
      <c r="L37" s="224">
        <f>L36+L27</f>
        <v/>
      </c>
      <c r="M37" s="224">
        <f>M36+M27</f>
        <v/>
      </c>
      <c r="N37" s="224">
        <f>N36+N27</f>
        <v/>
      </c>
      <c r="O37" s="224">
        <f>O36+O27</f>
        <v/>
      </c>
    </row>
  </sheetData>
  <mergeCells count="4">
    <mergeCell ref="A1:P1"/>
    <mergeCell ref="A2:P2"/>
    <mergeCell ref="A18:P18"/>
    <mergeCell ref="A30:P3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O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8" customWidth="1" style="136" min="1" max="1"/>
    <col width="16" customWidth="1" style="136" min="2" max="2"/>
    <col width="11" customWidth="1" style="136" min="3" max="14"/>
  </cols>
  <sheetData>
    <row r="1" ht="34.5" customHeight="1" s="137">
      <c r="A1" s="225" t="inlineStr">
        <is>
          <t>📊 RESUMEN MENSUAL DE GASTOS 2025-2026</t>
        </is>
      </c>
    </row>
    <row r="2" ht="15" customHeight="1" s="137">
      <c r="A2" s="226" t="inlineStr">
        <is>
          <t>💡 Totales automáticos desde el Tracker | Azul = importe pagado | Rojo = pendiente</t>
        </is>
      </c>
    </row>
    <row r="4" ht="15" customHeight="1" s="137">
      <c r="A4" s="227" t="inlineStr">
        <is>
          <t>Categoría</t>
        </is>
      </c>
      <c r="B4" s="227" t="inlineStr">
        <is>
          <t>Cuota Mensual (€)</t>
        </is>
      </c>
      <c r="C4" s="227" t="inlineStr">
        <is>
          <t>Feb-25</t>
        </is>
      </c>
      <c r="D4" s="227" t="inlineStr">
        <is>
          <t>Mar-25</t>
        </is>
      </c>
      <c r="E4" s="227" t="inlineStr">
        <is>
          <t>Abr-25</t>
        </is>
      </c>
      <c r="F4" s="227" t="inlineStr">
        <is>
          <t>May-25</t>
        </is>
      </c>
      <c r="G4" s="227" t="inlineStr">
        <is>
          <t>Jun-25</t>
        </is>
      </c>
      <c r="H4" s="227" t="inlineStr">
        <is>
          <t>Jul-25</t>
        </is>
      </c>
      <c r="I4" s="227" t="inlineStr">
        <is>
          <t>Ago-25</t>
        </is>
      </c>
      <c r="J4" s="227" t="inlineStr">
        <is>
          <t>Sep-25</t>
        </is>
      </c>
      <c r="K4" s="227" t="inlineStr">
        <is>
          <t>Oct-25</t>
        </is>
      </c>
      <c r="L4" s="227" t="inlineStr">
        <is>
          <t>Nov-25</t>
        </is>
      </c>
      <c r="M4" s="227" t="inlineStr">
        <is>
          <t>Dic-25</t>
        </is>
      </c>
      <c r="N4" s="227" t="inlineStr">
        <is>
          <t>Ene-26</t>
        </is>
      </c>
      <c r="O4" s="228" t="inlineStr">
        <is>
          <t>Feb-26</t>
        </is>
      </c>
    </row>
    <row r="5" ht="15" customHeight="1" s="137">
      <c r="A5" s="229" t="inlineStr">
        <is>
          <t>▸ Préstamos</t>
        </is>
      </c>
    </row>
    <row r="6" ht="15" customHeight="1" s="137">
      <c r="A6" s="230" t="inlineStr">
        <is>
          <t xml:space="preserve">   Préstamo 850922737-1</t>
        </is>
      </c>
      <c r="B6" s="231" t="n">
        <v>-711.48</v>
      </c>
      <c r="C6" s="232" t="n">
        <v>-708.33</v>
      </c>
      <c r="D6" s="232" t="n">
        <v>-708.33</v>
      </c>
      <c r="E6" s="232" t="n">
        <v>-708.33</v>
      </c>
      <c r="F6" s="232" t="n">
        <v>-708.33</v>
      </c>
      <c r="G6" s="232" t="n">
        <v>-708.33</v>
      </c>
      <c r="H6" s="232" t="n">
        <v>-708.33</v>
      </c>
      <c r="I6" s="232" t="n">
        <v>-708.33</v>
      </c>
      <c r="J6" s="232" t="n">
        <v>-708.33</v>
      </c>
      <c r="K6" s="232" t="n">
        <v>-708.33</v>
      </c>
      <c r="L6" s="232" t="n">
        <v>-708.33</v>
      </c>
      <c r="M6" s="232" t="n">
        <v>-708.33</v>
      </c>
      <c r="N6" s="232" t="n">
        <v>-708.33</v>
      </c>
      <c r="O6" s="233" t="n">
        <v>-711.48</v>
      </c>
    </row>
    <row r="7" ht="15" customHeight="1" s="137">
      <c r="A7" s="230" t="inlineStr">
        <is>
          <t xml:space="preserve">   Préstamo 853198848-9</t>
        </is>
      </c>
      <c r="B7" s="231" t="n">
        <v>-146.45</v>
      </c>
      <c r="C7" s="234" t="n">
        <v>-146.45</v>
      </c>
      <c r="D7" s="234" t="n">
        <v>-146.45</v>
      </c>
      <c r="E7" s="234" t="n">
        <v>-146.45</v>
      </c>
      <c r="F7" s="234" t="n">
        <v>-146.45</v>
      </c>
      <c r="G7" s="234" t="n">
        <v>-146.45</v>
      </c>
      <c r="H7" s="234" t="n">
        <v>-146.45</v>
      </c>
      <c r="I7" s="234" t="n">
        <v>-146.45</v>
      </c>
      <c r="J7" s="234" t="n">
        <v>-146.45</v>
      </c>
      <c r="K7" s="234" t="n">
        <v>-146.45</v>
      </c>
      <c r="L7" s="234" t="n">
        <v>-146.45</v>
      </c>
      <c r="M7" s="234" t="n">
        <v>-146.45</v>
      </c>
      <c r="N7" s="234" t="n">
        <v>-146.45</v>
      </c>
      <c r="O7" s="235" t="n">
        <v>-146.45</v>
      </c>
    </row>
    <row r="8" ht="15" customHeight="1" s="137">
      <c r="A8" s="230" t="inlineStr">
        <is>
          <t xml:space="preserve">   Hipoteca</t>
        </is>
      </c>
      <c r="B8" s="231" t="n">
        <v>-135.93</v>
      </c>
      <c r="C8" s="232" t="n">
        <v>-700</v>
      </c>
      <c r="D8" s="232" t="n">
        <v>-700</v>
      </c>
      <c r="E8" s="232" t="n">
        <v>-700</v>
      </c>
      <c r="F8" s="232" t="n">
        <v>-700</v>
      </c>
      <c r="G8" s="232" t="n">
        <v>-700</v>
      </c>
      <c r="H8" s="232" t="n">
        <v>-700</v>
      </c>
      <c r="I8" s="232" t="n">
        <v>-700</v>
      </c>
      <c r="J8" s="232" t="n">
        <v>-700</v>
      </c>
      <c r="K8" s="232" t="n">
        <v>-700</v>
      </c>
      <c r="L8" s="232" t="n">
        <v>-700</v>
      </c>
      <c r="M8" s="232" t="n">
        <v>-700</v>
      </c>
      <c r="N8" s="232" t="n">
        <v>-700</v>
      </c>
      <c r="O8" s="233" t="n">
        <v>-135.93</v>
      </c>
    </row>
    <row r="9" ht="15" customHeight="1" s="137">
      <c r="A9" s="236" t="inlineStr">
        <is>
          <t>Subtotal Préstamos</t>
        </is>
      </c>
      <c r="B9" s="237">
        <f>SUM(B6:B8)</f>
        <v/>
      </c>
      <c r="C9" s="237">
        <f>SUM(C6:C8)</f>
        <v/>
      </c>
      <c r="D9" s="237">
        <f>SUM(D6:D8)</f>
        <v/>
      </c>
      <c r="E9" s="237">
        <f>SUM(E6:E8)</f>
        <v/>
      </c>
      <c r="F9" s="237">
        <f>SUM(F6:F8)</f>
        <v/>
      </c>
      <c r="G9" s="237">
        <f>SUM(G6:G8)</f>
        <v/>
      </c>
      <c r="H9" s="237">
        <f>SUM(H6:H8)</f>
        <v/>
      </c>
      <c r="I9" s="237">
        <f>SUM(I6:I8)</f>
        <v/>
      </c>
      <c r="J9" s="237">
        <f>SUM(J6:J8)</f>
        <v/>
      </c>
      <c r="K9" s="237">
        <f>SUM(K6:K8)</f>
        <v/>
      </c>
      <c r="L9" s="237">
        <f>SUM(L6:L8)</f>
        <v/>
      </c>
      <c r="M9" s="237">
        <f>SUM(M6:M8)</f>
        <v/>
      </c>
      <c r="N9" s="237">
        <f>SUM(N6:N8)</f>
        <v/>
      </c>
      <c r="O9" s="238">
        <f>SUM(O6:O8)</f>
        <v/>
      </c>
    </row>
    <row r="10"/>
    <row r="11" ht="15" customHeight="1" s="137">
      <c r="A11" s="239" t="inlineStr">
        <is>
          <t>▸ Financiación</t>
        </is>
      </c>
    </row>
    <row r="12" ht="15" customHeight="1" s="137">
      <c r="A12" s="230" t="inlineStr">
        <is>
          <t xml:space="preserve">   Cetelem (1)</t>
        </is>
      </c>
      <c r="B12" s="231" t="n">
        <v>-497.64</v>
      </c>
      <c r="C12" s="232" t="n">
        <v>-497.64</v>
      </c>
      <c r="D12" s="232" t="n">
        <v>-497.64</v>
      </c>
      <c r="E12" s="232" t="n">
        <v>-497.64</v>
      </c>
      <c r="F12" s="232" t="n">
        <v>-497.64</v>
      </c>
      <c r="G12" s="232" t="n">
        <v>-497.64</v>
      </c>
      <c r="H12" s="232" t="n">
        <v>-497.64</v>
      </c>
      <c r="I12" s="232" t="n">
        <v>-497.64</v>
      </c>
      <c r="J12" s="232" t="n">
        <v>-497.64</v>
      </c>
      <c r="K12" s="232" t="n">
        <v>-497.64</v>
      </c>
      <c r="L12" s="232" t="n">
        <v>-497.64</v>
      </c>
      <c r="M12" s="232" t="n">
        <v>-497.64</v>
      </c>
      <c r="N12" s="232" t="n">
        <v>-497.64</v>
      </c>
      <c r="O12" s="233" t="n">
        <v>-497.64</v>
      </c>
    </row>
    <row r="13" ht="15" customHeight="1" s="137">
      <c r="A13" s="230" t="inlineStr">
        <is>
          <t xml:space="preserve">   Cetelem (2)</t>
        </is>
      </c>
      <c r="B13" s="231" t="n">
        <v>-245.32</v>
      </c>
      <c r="C13" s="234" t="n">
        <v>-245.32</v>
      </c>
      <c r="D13" s="234" t="n">
        <v>-245.32</v>
      </c>
      <c r="E13" s="234" t="n">
        <v>-245.32</v>
      </c>
      <c r="F13" s="234" t="n">
        <v>-245.32</v>
      </c>
      <c r="G13" s="234" t="n">
        <v>-245.32</v>
      </c>
      <c r="H13" s="234" t="n">
        <v>-245.32</v>
      </c>
      <c r="I13" s="234" t="n">
        <v>-245.32</v>
      </c>
      <c r="J13" s="234" t="n">
        <v>-245.32</v>
      </c>
      <c r="K13" s="234" t="n">
        <v>-245.32</v>
      </c>
      <c r="L13" s="234" t="n">
        <v>-245.32</v>
      </c>
      <c r="M13" s="234" t="n">
        <v>-245.32</v>
      </c>
      <c r="N13" s="234" t="n">
        <v>-245.32</v>
      </c>
      <c r="O13" s="235" t="n">
        <v>-245.32</v>
      </c>
    </row>
    <row r="14" ht="15" customHeight="1" s="137">
      <c r="A14" s="236" t="inlineStr">
        <is>
          <t>Subtotal Financiación</t>
        </is>
      </c>
      <c r="B14" s="237">
        <f>SUM(B12:B13)</f>
        <v/>
      </c>
      <c r="C14" s="237">
        <f>SUM(C12:C13)</f>
        <v/>
      </c>
      <c r="D14" s="237">
        <f>SUM(D12:D13)</f>
        <v/>
      </c>
      <c r="E14" s="237">
        <f>SUM(E12:E13)</f>
        <v/>
      </c>
      <c r="F14" s="237">
        <f>SUM(F12:F13)</f>
        <v/>
      </c>
      <c r="G14" s="237">
        <f>SUM(G12:G13)</f>
        <v/>
      </c>
      <c r="H14" s="237">
        <f>SUM(H12:H13)</f>
        <v/>
      </c>
      <c r="I14" s="237">
        <f>SUM(I12:I13)</f>
        <v/>
      </c>
      <c r="J14" s="237">
        <f>SUM(J12:J13)</f>
        <v/>
      </c>
      <c r="K14" s="237">
        <f>SUM(K12:K13)</f>
        <v/>
      </c>
      <c r="L14" s="237">
        <f>SUM(L12:L13)</f>
        <v/>
      </c>
      <c r="M14" s="237">
        <f>SUM(M12:M13)</f>
        <v/>
      </c>
      <c r="N14" s="237">
        <f>SUM(N12:N13)</f>
        <v/>
      </c>
      <c r="O14" s="238">
        <f>SUM(O12:O13)</f>
        <v/>
      </c>
    </row>
    <row r="15" ht="15" customHeight="1" s="137"/>
    <row r="16" ht="15" customHeight="1" s="137">
      <c r="A16" s="240" t="inlineStr">
        <is>
          <t>▸ Tarjetas</t>
        </is>
      </c>
    </row>
    <row r="17" ht="15" customHeight="1" s="137">
      <c r="A17" s="230" t="inlineStr">
        <is>
          <t xml:space="preserve">   Visa ...80369</t>
        </is>
      </c>
      <c r="B17" s="231" t="n">
        <v>-490</v>
      </c>
      <c r="C17" s="232" t="n">
        <v>-490</v>
      </c>
      <c r="D17" s="232" t="n">
        <v>-490</v>
      </c>
      <c r="E17" s="232" t="n">
        <v>-490</v>
      </c>
      <c r="F17" s="232" t="n">
        <v>-490</v>
      </c>
      <c r="G17" s="232" t="n">
        <v>-490</v>
      </c>
      <c r="H17" s="232" t="n">
        <v>-490</v>
      </c>
      <c r="I17" s="232" t="n">
        <v>-490</v>
      </c>
      <c r="J17" s="232" t="n">
        <v>-490</v>
      </c>
      <c r="K17" s="232" t="n">
        <v>-490</v>
      </c>
      <c r="L17" s="232" t="n">
        <v>-490</v>
      </c>
      <c r="M17" s="232" t="n">
        <v>-490</v>
      </c>
      <c r="N17" s="232" t="n">
        <v>-490</v>
      </c>
      <c r="O17" s="233" t="n">
        <v>-490</v>
      </c>
    </row>
    <row r="18" ht="15" customHeight="1" s="137">
      <c r="A18" s="230" t="inlineStr">
        <is>
          <t xml:space="preserve">   Visa ...80419</t>
        </is>
      </c>
      <c r="B18" s="231" t="n">
        <v>-900</v>
      </c>
      <c r="C18" s="234" t="n">
        <v>-900</v>
      </c>
      <c r="D18" s="234" t="n">
        <v>-900</v>
      </c>
      <c r="E18" s="234" t="n">
        <v>-900</v>
      </c>
      <c r="F18" s="234" t="n">
        <v>-900</v>
      </c>
      <c r="G18" s="234" t="n">
        <v>-900</v>
      </c>
      <c r="H18" s="234" t="n">
        <v>-900</v>
      </c>
      <c r="I18" s="234" t="n">
        <v>-900</v>
      </c>
      <c r="J18" s="234" t="n">
        <v>-900</v>
      </c>
      <c r="K18" s="234" t="n">
        <v>-900</v>
      </c>
      <c r="L18" s="234" t="n">
        <v>-900</v>
      </c>
      <c r="M18" s="234" t="n">
        <v>-900</v>
      </c>
      <c r="N18" s="234" t="n">
        <v>-900</v>
      </c>
      <c r="O18" s="235" t="n">
        <v>-900</v>
      </c>
    </row>
    <row r="19" ht="15" customHeight="1" s="137">
      <c r="A19" s="236" t="inlineStr">
        <is>
          <t>Subtotal Tarjetas</t>
        </is>
      </c>
      <c r="B19" s="241">
        <f>SUM(B17:B18)</f>
        <v/>
      </c>
      <c r="C19" s="237">
        <f>SUM(C17:C18)</f>
        <v/>
      </c>
      <c r="D19" s="237">
        <f>SUM(D17:D18)</f>
        <v/>
      </c>
      <c r="E19" s="237">
        <f>SUM(E17:E18)</f>
        <v/>
      </c>
      <c r="F19" s="237">
        <f>SUM(F17:F18)</f>
        <v/>
      </c>
      <c r="G19" s="237">
        <f>SUM(G17:G18)</f>
        <v/>
      </c>
      <c r="H19" s="237">
        <f>SUM(H17:H18)</f>
        <v/>
      </c>
      <c r="I19" s="237">
        <f>SUM(I17:I18)</f>
        <v/>
      </c>
      <c r="J19" s="237">
        <f>SUM(J17:J18)</f>
        <v/>
      </c>
      <c r="K19" s="237">
        <f>SUM(K17:K18)</f>
        <v/>
      </c>
      <c r="L19" s="237">
        <f>SUM(L17:L18)</f>
        <v/>
      </c>
      <c r="M19" s="237">
        <f>SUM(M17:M18)</f>
        <v/>
      </c>
      <c r="N19" s="237">
        <f>SUM(N17:N18)</f>
        <v/>
      </c>
      <c r="O19" s="238">
        <f>SUM(O17:O18)</f>
        <v/>
      </c>
    </row>
    <row r="20" ht="15" customHeight="1" s="137"/>
    <row r="21" ht="15" customHeight="1" s="137">
      <c r="A21" s="242" t="inlineStr">
        <is>
          <t>▸ Seguros</t>
        </is>
      </c>
    </row>
    <row r="22" ht="15" customHeight="1" s="137">
      <c r="A22" s="230" t="inlineStr">
        <is>
          <t xml:space="preserve">   Kutxabank Vida (1)</t>
        </is>
      </c>
      <c r="B22" s="231" t="n">
        <v>-20</v>
      </c>
      <c r="C22" s="234" t="n">
        <v>-20</v>
      </c>
      <c r="D22" s="234" t="n">
        <v>-20</v>
      </c>
      <c r="E22" s="234" t="n">
        <v>-20</v>
      </c>
      <c r="F22" s="234" t="n">
        <v>-20</v>
      </c>
      <c r="G22" s="234" t="n">
        <v>-20</v>
      </c>
      <c r="H22" s="234" t="n">
        <v>-20</v>
      </c>
      <c r="I22" s="234" t="n">
        <v>-20</v>
      </c>
      <c r="J22" s="234" t="n">
        <v>-20</v>
      </c>
      <c r="K22" s="234" t="n">
        <v>-20</v>
      </c>
      <c r="L22" s="234" t="n">
        <v>-20</v>
      </c>
      <c r="M22" s="234" t="n">
        <v>-20</v>
      </c>
      <c r="N22" s="234" t="n">
        <v>-20</v>
      </c>
      <c r="O22" s="235" t="n">
        <v>-20</v>
      </c>
    </row>
    <row r="23" ht="15" customHeight="1" s="137">
      <c r="A23" s="230" t="inlineStr">
        <is>
          <t xml:space="preserve">   Kutxabank Vida (2)</t>
        </is>
      </c>
      <c r="B23" s="231" t="n">
        <v>-15</v>
      </c>
      <c r="C23" s="232" t="n">
        <v>-15</v>
      </c>
      <c r="D23" s="232" t="n">
        <v>-15</v>
      </c>
      <c r="E23" s="232" t="n">
        <v>-15</v>
      </c>
      <c r="F23" s="232" t="n">
        <v>-15</v>
      </c>
      <c r="G23" s="232" t="n">
        <v>-15</v>
      </c>
      <c r="H23" s="232" t="n">
        <v>-15</v>
      </c>
      <c r="I23" s="232" t="n">
        <v>-15</v>
      </c>
      <c r="J23" s="232" t="n">
        <v>-15</v>
      </c>
      <c r="K23" s="232" t="n">
        <v>-15</v>
      </c>
      <c r="L23" s="232" t="n">
        <v>-15</v>
      </c>
      <c r="M23" s="232" t="n">
        <v>-15</v>
      </c>
      <c r="N23" s="232" t="n">
        <v>-15</v>
      </c>
      <c r="O23" s="233" t="n">
        <v>-15</v>
      </c>
    </row>
    <row r="24" ht="15" customHeight="1" s="137">
      <c r="A24" s="236" t="inlineStr">
        <is>
          <t>Subtotal Seguros</t>
        </is>
      </c>
      <c r="B24" s="241">
        <f>SUM(B22:B23)</f>
        <v/>
      </c>
      <c r="C24" s="237">
        <f>SUM(C22:C23)</f>
        <v/>
      </c>
      <c r="D24" s="237">
        <f>SUM(D22:D23)</f>
        <v/>
      </c>
      <c r="E24" s="237">
        <f>SUM(E22:E23)</f>
        <v/>
      </c>
      <c r="F24" s="237">
        <f>SUM(F22:F23)</f>
        <v/>
      </c>
      <c r="G24" s="237">
        <f>SUM(G22:G23)</f>
        <v/>
      </c>
      <c r="H24" s="237">
        <f>SUM(H22:H23)</f>
        <v/>
      </c>
      <c r="I24" s="237">
        <f>SUM(I22:I23)</f>
        <v/>
      </c>
      <c r="J24" s="237">
        <f>SUM(J22:J23)</f>
        <v/>
      </c>
      <c r="K24" s="237">
        <f>SUM(K22:K23)</f>
        <v/>
      </c>
      <c r="L24" s="237">
        <f>SUM(L22:L23)</f>
        <v/>
      </c>
      <c r="M24" s="237">
        <f>SUM(M22:M23)</f>
        <v/>
      </c>
      <c r="N24" s="237">
        <f>SUM(N22:N23)</f>
        <v/>
      </c>
      <c r="O24" s="238">
        <f>SUM(O22:O23)</f>
        <v/>
      </c>
    </row>
    <row r="25" ht="15" customHeight="1" s="137"/>
    <row r="26" ht="15" customHeight="1" s="137">
      <c r="A26" s="243" t="inlineStr">
        <is>
          <t>▸ Suscripciones</t>
        </is>
      </c>
    </row>
    <row r="27" ht="15" customHeight="1" s="137">
      <c r="A27" s="230" t="inlineStr">
        <is>
          <t xml:space="preserve">   ChatGPT</t>
        </is>
      </c>
      <c r="B27" s="231" t="n">
        <v>-23</v>
      </c>
      <c r="C27" s="232" t="n">
        <v>-23</v>
      </c>
      <c r="D27" s="232" t="n">
        <v>-23</v>
      </c>
      <c r="E27" s="232" t="n">
        <v>-23</v>
      </c>
      <c r="F27" s="232" t="n">
        <v>-23</v>
      </c>
      <c r="G27" s="232" t="n">
        <v>-23</v>
      </c>
      <c r="H27" s="232" t="n">
        <v>-23</v>
      </c>
      <c r="I27" s="232" t="n">
        <v>-23</v>
      </c>
      <c r="J27" s="232" t="n">
        <v>-23</v>
      </c>
      <c r="K27" s="232" t="n">
        <v>-23</v>
      </c>
      <c r="L27" s="232" t="n">
        <v>-23</v>
      </c>
      <c r="M27" s="232" t="n">
        <v>-23</v>
      </c>
      <c r="N27" s="232" t="n">
        <v>-23</v>
      </c>
      <c r="O27" s="233" t="n">
        <v>-23</v>
      </c>
    </row>
    <row r="28" ht="15" customHeight="1" s="137">
      <c r="A28" s="230" t="inlineStr">
        <is>
          <t xml:space="preserve">   Cursor AI</t>
        </is>
      </c>
      <c r="B28" s="231" t="n">
        <v>-17.5</v>
      </c>
      <c r="C28" s="234" t="n">
        <v>-17.5</v>
      </c>
      <c r="D28" s="234" t="n">
        <v>-17.5</v>
      </c>
      <c r="E28" s="234" t="n">
        <v>-17.5</v>
      </c>
      <c r="F28" s="234" t="n">
        <v>-17.5</v>
      </c>
      <c r="G28" s="234" t="n">
        <v>-17.5</v>
      </c>
      <c r="H28" s="234" t="n">
        <v>-17.5</v>
      </c>
      <c r="I28" s="234" t="n">
        <v>-17.5</v>
      </c>
      <c r="J28" s="234" t="n">
        <v>-17.5</v>
      </c>
      <c r="K28" s="234" t="n">
        <v>-17.5</v>
      </c>
      <c r="L28" s="234" t="n">
        <v>-17.5</v>
      </c>
      <c r="M28" s="234" t="n">
        <v>-17.5</v>
      </c>
      <c r="N28" s="234" t="n">
        <v>-17.5</v>
      </c>
      <c r="O28" s="235" t="n">
        <v>-17.5</v>
      </c>
    </row>
    <row r="29" ht="15" customHeight="1" s="137">
      <c r="A29" s="230" t="inlineStr">
        <is>
          <t xml:space="preserve">   IONOS Cloud</t>
        </is>
      </c>
    </row>
    <row r="30" ht="15" customHeight="1" s="137">
      <c r="A30" s="230" t="inlineStr">
        <is>
          <t xml:space="preserve">   Disney+</t>
        </is>
      </c>
      <c r="B30" s="231" t="n">
        <v>-6.99</v>
      </c>
      <c r="C30" s="234" t="n">
        <v>-6.99</v>
      </c>
      <c r="D30" s="234" t="n">
        <v>-6.99</v>
      </c>
      <c r="E30" s="234" t="n">
        <v>-6.99</v>
      </c>
      <c r="F30" s="234" t="n">
        <v>-6.99</v>
      </c>
      <c r="G30" s="234" t="n">
        <v>-6.99</v>
      </c>
      <c r="H30" s="234" t="n">
        <v>-6.99</v>
      </c>
      <c r="I30" s="234" t="n">
        <v>-6.99</v>
      </c>
      <c r="J30" s="234" t="n">
        <v>-6.99</v>
      </c>
      <c r="K30" s="234" t="n">
        <v>-6.99</v>
      </c>
      <c r="L30" s="234" t="n">
        <v>-6.99</v>
      </c>
      <c r="M30" s="234" t="n">
        <v>-6.99</v>
      </c>
      <c r="N30" s="234" t="n">
        <v>-6.99</v>
      </c>
      <c r="O30" s="235" t="n">
        <v>-6.99</v>
      </c>
    </row>
    <row r="31" ht="15" customHeight="1" s="137">
      <c r="A31" s="230" t="inlineStr">
        <is>
          <t xml:space="preserve">   Amazon Prime</t>
        </is>
      </c>
      <c r="B31" s="231" t="n">
        <v>-9.99</v>
      </c>
      <c r="C31" s="232" t="n">
        <v>-9.99</v>
      </c>
      <c r="D31" s="232" t="n">
        <v>-9.99</v>
      </c>
      <c r="E31" s="232" t="n">
        <v>-9.99</v>
      </c>
      <c r="F31" s="232" t="n">
        <v>-9.99</v>
      </c>
      <c r="G31" s="232" t="n">
        <v>-9.99</v>
      </c>
      <c r="H31" s="232" t="n">
        <v>-9.99</v>
      </c>
      <c r="I31" s="232" t="n">
        <v>-9.99</v>
      </c>
      <c r="J31" s="232" t="n">
        <v>-9.99</v>
      </c>
      <c r="K31" s="232" t="n">
        <v>-9.99</v>
      </c>
      <c r="L31" s="232" t="n">
        <v>-9.99</v>
      </c>
      <c r="M31" s="232" t="n">
        <v>-9.99</v>
      </c>
      <c r="N31" s="232" t="n">
        <v>-9.99</v>
      </c>
      <c r="O31" s="233" t="n">
        <v>-9.99</v>
      </c>
    </row>
    <row r="32" ht="15" customHeight="1" s="137">
      <c r="A32" s="236" t="inlineStr">
        <is>
          <t>Subtotal Suscripciones</t>
        </is>
      </c>
      <c r="B32" s="237">
        <f>SUM(B27:B31)</f>
        <v/>
      </c>
      <c r="C32" s="237">
        <f>SUM(C27:C31)</f>
        <v/>
      </c>
      <c r="D32" s="237">
        <f>SUM(D27:D31)</f>
        <v/>
      </c>
      <c r="E32" s="237">
        <f>SUM(E27:E31)</f>
        <v/>
      </c>
      <c r="F32" s="237">
        <f>SUM(F27:F31)</f>
        <v/>
      </c>
      <c r="G32" s="237">
        <f>SUM(G27:G31)</f>
        <v/>
      </c>
      <c r="H32" s="237">
        <f>SUM(H27:H31)</f>
        <v/>
      </c>
      <c r="I32" s="237">
        <f>SUM(I27:I31)</f>
        <v/>
      </c>
      <c r="J32" s="237">
        <f>SUM(J27:J31)</f>
        <v/>
      </c>
      <c r="K32" s="237">
        <f>SUM(K27:K31)</f>
        <v/>
      </c>
      <c r="L32" s="237">
        <f>SUM(L27:L31)</f>
        <v/>
      </c>
      <c r="M32" s="237">
        <f>SUM(M27:M31)</f>
        <v/>
      </c>
      <c r="N32" s="237">
        <f>SUM(N27:N31)</f>
        <v/>
      </c>
      <c r="O32" s="238">
        <f>SUM(O27:O31)</f>
        <v/>
      </c>
    </row>
    <row r="33" ht="15" customHeight="1" s="137"/>
    <row r="34" ht="15" customHeight="1" s="137">
      <c r="A34" s="244" t="inlineStr">
        <is>
          <t>▸ Otros</t>
        </is>
      </c>
    </row>
    <row r="35" ht="15" customHeight="1" s="137">
      <c r="A35" s="230" t="inlineStr">
        <is>
          <t xml:space="preserve">   Basic-Fit</t>
        </is>
      </c>
      <c r="B35" s="231" t="n">
        <v>-24.99</v>
      </c>
      <c r="C35" s="232" t="n">
        <v>-24.99</v>
      </c>
      <c r="D35" s="232" t="n">
        <v>-24.99</v>
      </c>
      <c r="E35" s="232" t="n">
        <v>-24.99</v>
      </c>
      <c r="F35" s="232" t="n">
        <v>-24.99</v>
      </c>
      <c r="G35" s="232" t="n">
        <v>-24.99</v>
      </c>
      <c r="H35" s="232" t="n">
        <v>-24.99</v>
      </c>
      <c r="I35" s="232" t="n">
        <v>-24.99</v>
      </c>
      <c r="J35" s="232" t="n">
        <v>-24.99</v>
      </c>
      <c r="K35" s="232" t="n">
        <v>-24.99</v>
      </c>
      <c r="L35" s="232" t="n">
        <v>-24.99</v>
      </c>
      <c r="M35" s="232" t="n">
        <v>-24.99</v>
      </c>
      <c r="N35" s="232" t="n">
        <v>-24.99</v>
      </c>
      <c r="O35" s="233" t="n">
        <v>-24.99</v>
      </c>
    </row>
    <row r="36" ht="15" customHeight="1" s="137">
      <c r="A36" s="230" t="inlineStr">
        <is>
          <t xml:space="preserve">   Traspaso 911341954</t>
        </is>
      </c>
      <c r="B36" s="231" t="n">
        <v>-8.99</v>
      </c>
      <c r="C36" s="234" t="n">
        <v>-8.99</v>
      </c>
      <c r="D36" s="234" t="n">
        <v>-8.99</v>
      </c>
      <c r="E36" s="234" t="n">
        <v>-8.99</v>
      </c>
      <c r="F36" s="234" t="n">
        <v>-8.99</v>
      </c>
      <c r="G36" s="234" t="n">
        <v>-8.99</v>
      </c>
      <c r="H36" s="234" t="n">
        <v>-8.99</v>
      </c>
      <c r="I36" s="234" t="n">
        <v>-8.99</v>
      </c>
      <c r="J36" s="234" t="n">
        <v>-8.99</v>
      </c>
      <c r="K36" s="234" t="n">
        <v>-8.99</v>
      </c>
      <c r="L36" s="234" t="n">
        <v>-8.99</v>
      </c>
      <c r="M36" s="234" t="n">
        <v>-8.99</v>
      </c>
      <c r="N36" s="234" t="n">
        <v>-8.99</v>
      </c>
      <c r="O36" s="235" t="n">
        <v>-8.99</v>
      </c>
    </row>
    <row r="37" ht="15" customHeight="1" s="137">
      <c r="A37" s="230" t="inlineStr">
        <is>
          <t xml:space="preserve">   UTESLAR</t>
        </is>
      </c>
    </row>
    <row r="38" ht="15" customHeight="1" s="137">
      <c r="A38" s="230" t="inlineStr">
        <is>
          <t xml:space="preserve">   Ayto. Logroño</t>
        </is>
      </c>
      <c r="B38" s="231" t="n">
        <v>-76.67</v>
      </c>
      <c r="C38" s="234" t="n">
        <v>-76.67</v>
      </c>
      <c r="D38" s="234" t="n">
        <v>-76.67</v>
      </c>
      <c r="E38" s="234" t="n">
        <v>-76.67</v>
      </c>
      <c r="F38" s="234" t="n">
        <v>-76.67</v>
      </c>
      <c r="G38" s="234" t="n">
        <v>-76.67</v>
      </c>
      <c r="H38" s="234" t="n">
        <v>-76.67</v>
      </c>
      <c r="I38" s="234" t="n">
        <v>-76.67</v>
      </c>
      <c r="J38" s="234" t="n">
        <v>-76.67</v>
      </c>
      <c r="K38" s="234" t="n">
        <v>-76.67</v>
      </c>
      <c r="L38" s="234" t="n">
        <v>-76.67</v>
      </c>
      <c r="M38" s="234" t="n">
        <v>-76.67</v>
      </c>
      <c r="N38" s="234" t="n">
        <v>-76.67</v>
      </c>
      <c r="O38" s="235" t="n">
        <v>-76.67</v>
      </c>
    </row>
    <row r="39" ht="15" customHeight="1" s="137">
      <c r="A39" s="236" t="inlineStr">
        <is>
          <t>Subtotal Otros</t>
        </is>
      </c>
      <c r="B39" s="237">
        <f>SUM(B35:B38)</f>
        <v/>
      </c>
      <c r="C39" s="237">
        <f>SUM(C35:C38)</f>
        <v/>
      </c>
      <c r="D39" s="237">
        <f>SUM(D35:D38)</f>
        <v/>
      </c>
      <c r="E39" s="237">
        <f>SUM(E35:E38)</f>
        <v/>
      </c>
      <c r="F39" s="237">
        <f>SUM(F35:F38)</f>
        <v/>
      </c>
      <c r="G39" s="237">
        <f>SUM(G35:G38)</f>
        <v/>
      </c>
      <c r="H39" s="237">
        <f>SUM(H35:H38)</f>
        <v/>
      </c>
      <c r="I39" s="237">
        <f>SUM(I35:I38)</f>
        <v/>
      </c>
      <c r="J39" s="237">
        <f>SUM(J35:J38)</f>
        <v/>
      </c>
      <c r="K39" s="237">
        <f>SUM(K35:K38)</f>
        <v/>
      </c>
      <c r="L39" s="237">
        <f>SUM(L35:L38)</f>
        <v/>
      </c>
      <c r="M39" s="237">
        <f>SUM(M35:M38)</f>
        <v/>
      </c>
      <c r="N39" s="237">
        <f>SUM(N35:N38)</f>
        <v/>
      </c>
      <c r="O39" s="238">
        <f>SUM(O35:O38)</f>
        <v/>
      </c>
    </row>
    <row r="40" ht="15" customHeight="1" s="137"/>
    <row r="41" ht="15" customHeight="1" s="137">
      <c r="A41" s="245" t="inlineStr">
        <is>
          <t>💰 TOTAL MENSUAL ESTIMADO</t>
        </is>
      </c>
      <c r="B41" s="246">
        <f>SUM(B5:B40)</f>
        <v/>
      </c>
      <c r="C41" s="246">
        <f>SUM(C5:C40)</f>
        <v/>
      </c>
      <c r="D41" s="246">
        <f>SUM(D5:D40)</f>
        <v/>
      </c>
      <c r="E41" s="246">
        <f>SUM(E5:E40)</f>
        <v/>
      </c>
      <c r="F41" s="246">
        <f>SUM(F5:F40)</f>
        <v/>
      </c>
      <c r="G41" s="246">
        <f>SUM(G5:G40)</f>
        <v/>
      </c>
      <c r="H41" s="246">
        <f>SUM(H5:H40)</f>
        <v/>
      </c>
      <c r="I41" s="246">
        <f>SUM(I5:I40)</f>
        <v/>
      </c>
      <c r="J41" s="246">
        <f>SUM(J5:J40)</f>
        <v/>
      </c>
      <c r="K41" s="246">
        <f>SUM(K5:K40)</f>
        <v/>
      </c>
      <c r="L41" s="246">
        <f>SUM(L5:L40)</f>
        <v/>
      </c>
      <c r="M41" s="246">
        <f>SUM(M5:M40)</f>
        <v/>
      </c>
      <c r="N41" s="246">
        <f>SUM(N5:N40)</f>
        <v/>
      </c>
      <c r="O41" s="247">
        <f>SUM(O5:O40)</f>
        <v/>
      </c>
    </row>
    <row r="42" ht="15" customHeight="1" s="137"/>
    <row r="44" ht="21.75" customHeight="1" s="13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22" customWidth="1" style="136" min="1" max="1"/>
    <col width="14" customWidth="1" style="136" min="2" max="2"/>
    <col width="8" customWidth="1" style="136" min="3" max="14"/>
  </cols>
  <sheetData>
    <row r="1" ht="27.75" customHeight="1" s="137">
      <c r="A1" s="248" t="inlineStr">
        <is>
          <t>✅ TRACKER DE PAGOS 2025-2026 — Marca SI/NO cada mes</t>
        </is>
      </c>
    </row>
    <row r="2" ht="15" customHeight="1" s="137">
      <c r="A2" s="139" t="inlineStr">
        <is>
          <t>🟢 SI = Pagado  |  🔴 NO = Pendiente  |  ⚠️ ? = A verificar</t>
        </is>
      </c>
    </row>
    <row r="3" ht="21.75" customHeight="1" s="137">
      <c r="A3" s="140" t="inlineStr">
        <is>
          <t>Concepto</t>
        </is>
      </c>
      <c r="B3" s="140" t="inlineStr">
        <is>
          <t>Importe</t>
        </is>
      </c>
      <c r="C3" s="140" t="inlineStr">
        <is>
          <t>Feb-25</t>
        </is>
      </c>
      <c r="D3" s="140" t="inlineStr">
        <is>
          <t>Mar-25</t>
        </is>
      </c>
      <c r="E3" s="140" t="inlineStr">
        <is>
          <t>Abr-25</t>
        </is>
      </c>
      <c r="F3" s="140" t="inlineStr">
        <is>
          <t>May-25</t>
        </is>
      </c>
      <c r="G3" s="140" t="inlineStr">
        <is>
          <t>Jun-25</t>
        </is>
      </c>
      <c r="H3" s="140" t="inlineStr">
        <is>
          <t>Jul-25</t>
        </is>
      </c>
      <c r="I3" s="140" t="inlineStr">
        <is>
          <t>Ago-25</t>
        </is>
      </c>
      <c r="J3" s="140" t="inlineStr">
        <is>
          <t>Sep-25</t>
        </is>
      </c>
      <c r="K3" s="140" t="inlineStr">
        <is>
          <t>Oct-25</t>
        </is>
      </c>
      <c r="L3" s="140" t="inlineStr">
        <is>
          <t>Nov-25</t>
        </is>
      </c>
      <c r="M3" s="140" t="inlineStr">
        <is>
          <t>Dic-25</t>
        </is>
      </c>
      <c r="N3" s="140" t="inlineStr">
        <is>
          <t>Ene-26</t>
        </is>
      </c>
      <c r="O3" s="249" t="inlineStr">
        <is>
          <t>Feb-26</t>
        </is>
      </c>
    </row>
    <row r="4" ht="15" customHeight="1" s="137">
      <c r="A4" s="141" t="inlineStr">
        <is>
          <t>Préstamo 850922737-1</t>
        </is>
      </c>
      <c r="B4" s="143" t="n">
        <v>711.48</v>
      </c>
      <c r="C4" s="250" t="inlineStr">
        <is>
          <t>SI</t>
        </is>
      </c>
      <c r="D4" s="250" t="inlineStr">
        <is>
          <t>SI</t>
        </is>
      </c>
      <c r="E4" s="250" t="inlineStr">
        <is>
          <t>SI</t>
        </is>
      </c>
      <c r="F4" s="250" t="inlineStr">
        <is>
          <t>SI</t>
        </is>
      </c>
      <c r="G4" s="250" t="inlineStr">
        <is>
          <t>SI</t>
        </is>
      </c>
      <c r="H4" s="250" t="inlineStr">
        <is>
          <t>SI</t>
        </is>
      </c>
      <c r="I4" s="250" t="inlineStr">
        <is>
          <t>SI</t>
        </is>
      </c>
      <c r="J4" s="250" t="inlineStr">
        <is>
          <t>SI</t>
        </is>
      </c>
      <c r="K4" s="250" t="inlineStr">
        <is>
          <t>SI</t>
        </is>
      </c>
      <c r="L4" s="250" t="inlineStr">
        <is>
          <t>SI</t>
        </is>
      </c>
      <c r="M4" s="250" t="inlineStr">
        <is>
          <t>SI</t>
        </is>
      </c>
      <c r="N4" s="250" t="inlineStr">
        <is>
          <t>SI</t>
        </is>
      </c>
      <c r="O4" s="251" t="inlineStr">
        <is>
          <t>?</t>
        </is>
      </c>
    </row>
    <row r="5" ht="15" customHeight="1" s="137">
      <c r="A5" s="146" t="inlineStr">
        <is>
          <t>Préstamo 853198848-9</t>
        </is>
      </c>
      <c r="B5" s="148" t="n">
        <v>-146.45</v>
      </c>
      <c r="C5" s="250" t="inlineStr">
        <is>
          <t>SI</t>
        </is>
      </c>
      <c r="D5" s="250" t="inlineStr">
        <is>
          <t>SI</t>
        </is>
      </c>
      <c r="E5" s="250" t="inlineStr">
        <is>
          <t>SI</t>
        </is>
      </c>
      <c r="F5" s="250" t="inlineStr">
        <is>
          <t>SI</t>
        </is>
      </c>
      <c r="G5" s="250" t="inlineStr">
        <is>
          <t>SI</t>
        </is>
      </c>
      <c r="H5" s="250" t="inlineStr">
        <is>
          <t>SI</t>
        </is>
      </c>
      <c r="I5" s="250" t="inlineStr">
        <is>
          <t>SI</t>
        </is>
      </c>
      <c r="J5" s="250" t="inlineStr">
        <is>
          <t>SI</t>
        </is>
      </c>
      <c r="K5" s="250" t="inlineStr">
        <is>
          <t>SI</t>
        </is>
      </c>
      <c r="L5" s="250" t="inlineStr">
        <is>
          <t>SI</t>
        </is>
      </c>
      <c r="M5" s="250" t="inlineStr">
        <is>
          <t>SI</t>
        </is>
      </c>
      <c r="N5" s="250" t="inlineStr">
        <is>
          <t>SI</t>
        </is>
      </c>
      <c r="O5" s="251" t="inlineStr">
        <is>
          <t>?</t>
        </is>
      </c>
    </row>
    <row r="6" ht="15" customHeight="1" s="137">
      <c r="A6" s="141" t="inlineStr">
        <is>
          <t>Visa ...80369</t>
        </is>
      </c>
      <c r="B6" s="143" t="n">
        <v>-490</v>
      </c>
      <c r="C6" s="250" t="inlineStr">
        <is>
          <t>SI</t>
        </is>
      </c>
      <c r="D6" s="250" t="inlineStr">
        <is>
          <t>SI</t>
        </is>
      </c>
      <c r="E6" s="250" t="inlineStr">
        <is>
          <t>SI</t>
        </is>
      </c>
      <c r="F6" s="250" t="inlineStr">
        <is>
          <t>SI</t>
        </is>
      </c>
      <c r="G6" s="250" t="inlineStr">
        <is>
          <t>SI</t>
        </is>
      </c>
      <c r="H6" s="250" t="inlineStr">
        <is>
          <t>SI</t>
        </is>
      </c>
      <c r="I6" s="250" t="inlineStr">
        <is>
          <t>SI</t>
        </is>
      </c>
      <c r="J6" s="250" t="inlineStr">
        <is>
          <t>SI</t>
        </is>
      </c>
      <c r="K6" s="250" t="inlineStr">
        <is>
          <t>SI</t>
        </is>
      </c>
      <c r="L6" s="250" t="inlineStr">
        <is>
          <t>SI</t>
        </is>
      </c>
      <c r="M6" s="250" t="inlineStr">
        <is>
          <t>SI</t>
        </is>
      </c>
      <c r="N6" s="250" t="inlineStr">
        <is>
          <t>SI</t>
        </is>
      </c>
      <c r="O6" s="251" t="inlineStr">
        <is>
          <t>?</t>
        </is>
      </c>
    </row>
    <row r="7" ht="15" customHeight="1" s="137">
      <c r="A7" s="146" t="inlineStr">
        <is>
          <t>Visa ...80419</t>
        </is>
      </c>
      <c r="B7" s="148" t="n">
        <v>-900</v>
      </c>
      <c r="C7" s="250" t="inlineStr">
        <is>
          <t>SI</t>
        </is>
      </c>
      <c r="D7" s="250" t="inlineStr">
        <is>
          <t>SI</t>
        </is>
      </c>
      <c r="E7" s="250" t="inlineStr">
        <is>
          <t>SI</t>
        </is>
      </c>
      <c r="F7" s="250" t="inlineStr">
        <is>
          <t>SI</t>
        </is>
      </c>
      <c r="G7" s="250" t="inlineStr">
        <is>
          <t>SI</t>
        </is>
      </c>
      <c r="H7" s="250" t="inlineStr">
        <is>
          <t>SI</t>
        </is>
      </c>
      <c r="I7" s="250" t="inlineStr">
        <is>
          <t>SI</t>
        </is>
      </c>
      <c r="J7" s="250" t="inlineStr">
        <is>
          <t>SI</t>
        </is>
      </c>
      <c r="K7" s="250" t="inlineStr">
        <is>
          <t>SI</t>
        </is>
      </c>
      <c r="L7" s="250" t="inlineStr">
        <is>
          <t>SI</t>
        </is>
      </c>
      <c r="M7" s="250" t="inlineStr">
        <is>
          <t>SI</t>
        </is>
      </c>
      <c r="N7" s="250" t="inlineStr">
        <is>
          <t>SI</t>
        </is>
      </c>
      <c r="O7" s="251" t="inlineStr">
        <is>
          <t>?</t>
        </is>
      </c>
    </row>
    <row r="8" ht="15" customHeight="1" s="137">
      <c r="A8" s="141" t="inlineStr">
        <is>
          <t>Cetelem (1)</t>
        </is>
      </c>
      <c r="B8" s="143" t="n">
        <v>-497.64</v>
      </c>
      <c r="C8" s="252" t="inlineStr">
        <is>
          <t>NO</t>
        </is>
      </c>
      <c r="D8" s="252" t="inlineStr">
        <is>
          <t>NO</t>
        </is>
      </c>
      <c r="E8" s="250" t="inlineStr">
        <is>
          <t>SI</t>
        </is>
      </c>
      <c r="F8" s="250" t="inlineStr">
        <is>
          <t>SI</t>
        </is>
      </c>
      <c r="G8" s="250" t="inlineStr">
        <is>
          <t>SI</t>
        </is>
      </c>
      <c r="H8" s="250" t="inlineStr">
        <is>
          <t>SI</t>
        </is>
      </c>
      <c r="I8" s="250" t="inlineStr">
        <is>
          <t>SI</t>
        </is>
      </c>
      <c r="J8" s="250" t="inlineStr">
        <is>
          <t>SI</t>
        </is>
      </c>
      <c r="K8" s="250" t="inlineStr">
        <is>
          <t>SI</t>
        </is>
      </c>
      <c r="L8" s="250" t="inlineStr">
        <is>
          <t>SI</t>
        </is>
      </c>
      <c r="M8" s="250" t="inlineStr">
        <is>
          <t>SI</t>
        </is>
      </c>
      <c r="N8" s="250" t="inlineStr">
        <is>
          <t>SI</t>
        </is>
      </c>
      <c r="O8" s="251" t="inlineStr">
        <is>
          <t>?</t>
        </is>
      </c>
    </row>
    <row r="9" ht="15" customHeight="1" s="137">
      <c r="A9" s="146" t="inlineStr">
        <is>
          <t>Cetelem (2)</t>
        </is>
      </c>
      <c r="B9" s="148" t="n">
        <v>-245.32</v>
      </c>
      <c r="C9" s="252" t="inlineStr">
        <is>
          <t>NO</t>
        </is>
      </c>
      <c r="D9" s="252" t="inlineStr">
        <is>
          <t>NO</t>
        </is>
      </c>
      <c r="E9" s="250" t="inlineStr">
        <is>
          <t>SI</t>
        </is>
      </c>
      <c r="F9" s="250" t="inlineStr">
        <is>
          <t>SI</t>
        </is>
      </c>
      <c r="G9" s="250" t="inlineStr">
        <is>
          <t>SI</t>
        </is>
      </c>
      <c r="H9" s="250" t="inlineStr">
        <is>
          <t>SI</t>
        </is>
      </c>
      <c r="I9" s="250" t="inlineStr">
        <is>
          <t>SI</t>
        </is>
      </c>
      <c r="J9" s="250" t="inlineStr">
        <is>
          <t>SI</t>
        </is>
      </c>
      <c r="K9" s="250" t="inlineStr">
        <is>
          <t>SI</t>
        </is>
      </c>
      <c r="L9" s="250" t="inlineStr">
        <is>
          <t>SI</t>
        </is>
      </c>
      <c r="M9" s="250" t="inlineStr">
        <is>
          <t>SI</t>
        </is>
      </c>
      <c r="N9" s="250" t="inlineStr">
        <is>
          <t>SI</t>
        </is>
      </c>
      <c r="O9" s="251" t="inlineStr">
        <is>
          <t>?</t>
        </is>
      </c>
    </row>
    <row r="10" ht="15" customHeight="1" s="137">
      <c r="A10" s="146" t="inlineStr">
        <is>
          <t>Kutxabank Vida (1)</t>
        </is>
      </c>
      <c r="B10" s="148" t="n">
        <v>-20</v>
      </c>
      <c r="C10" s="250" t="inlineStr">
        <is>
          <t>SI</t>
        </is>
      </c>
      <c r="D10" s="250" t="inlineStr">
        <is>
          <t>SI</t>
        </is>
      </c>
      <c r="E10" s="250" t="inlineStr">
        <is>
          <t>SI</t>
        </is>
      </c>
      <c r="F10" s="250" t="inlineStr">
        <is>
          <t>SI</t>
        </is>
      </c>
      <c r="G10" s="250" t="inlineStr">
        <is>
          <t>SI</t>
        </is>
      </c>
      <c r="H10" s="250" t="inlineStr">
        <is>
          <t>SI</t>
        </is>
      </c>
      <c r="I10" s="250" t="inlineStr">
        <is>
          <t>SI</t>
        </is>
      </c>
      <c r="J10" s="250" t="inlineStr">
        <is>
          <t>SI</t>
        </is>
      </c>
      <c r="K10" s="250" t="inlineStr">
        <is>
          <t>SI</t>
        </is>
      </c>
      <c r="L10" s="250" t="inlineStr">
        <is>
          <t>SI</t>
        </is>
      </c>
      <c r="M10" s="250" t="inlineStr">
        <is>
          <t>SI</t>
        </is>
      </c>
      <c r="N10" s="250" t="inlineStr">
        <is>
          <t>SI</t>
        </is>
      </c>
      <c r="O10" s="251" t="inlineStr">
        <is>
          <t>?</t>
        </is>
      </c>
    </row>
    <row r="11" ht="15" customHeight="1" s="137">
      <c r="A11" s="141" t="inlineStr">
        <is>
          <t>Kutxabank Vida (2)</t>
        </is>
      </c>
      <c r="B11" s="143" t="n">
        <v>-15</v>
      </c>
      <c r="C11" s="250" t="inlineStr">
        <is>
          <t>SI</t>
        </is>
      </c>
      <c r="D11" s="250" t="inlineStr">
        <is>
          <t>SI</t>
        </is>
      </c>
      <c r="E11" s="250" t="inlineStr">
        <is>
          <t>SI</t>
        </is>
      </c>
      <c r="F11" s="250" t="inlineStr">
        <is>
          <t>SI</t>
        </is>
      </c>
      <c r="G11" s="250" t="inlineStr">
        <is>
          <t>SI</t>
        </is>
      </c>
      <c r="H11" s="250" t="inlineStr">
        <is>
          <t>SI</t>
        </is>
      </c>
      <c r="I11" s="250" t="inlineStr">
        <is>
          <t>SI</t>
        </is>
      </c>
      <c r="J11" s="250" t="inlineStr">
        <is>
          <t>SI</t>
        </is>
      </c>
      <c r="K11" s="250" t="inlineStr">
        <is>
          <t>SI</t>
        </is>
      </c>
      <c r="L11" s="250" t="inlineStr">
        <is>
          <t>SI</t>
        </is>
      </c>
      <c r="M11" s="250" t="inlineStr">
        <is>
          <t>SI</t>
        </is>
      </c>
      <c r="N11" s="250" t="inlineStr">
        <is>
          <t>SI</t>
        </is>
      </c>
      <c r="O11" s="251" t="inlineStr">
        <is>
          <t>?</t>
        </is>
      </c>
    </row>
    <row r="12" ht="15" customHeight="1" s="137">
      <c r="A12" s="146" t="inlineStr">
        <is>
          <t>Basic-Fit</t>
        </is>
      </c>
      <c r="B12" s="148" t="n">
        <v>-24.99</v>
      </c>
      <c r="C12" s="252" t="inlineStr">
        <is>
          <t>NO</t>
        </is>
      </c>
      <c r="D12" s="250" t="inlineStr">
        <is>
          <t>SI</t>
        </is>
      </c>
      <c r="E12" s="250" t="inlineStr">
        <is>
          <t>SI</t>
        </is>
      </c>
      <c r="F12" s="250" t="inlineStr">
        <is>
          <t>SI</t>
        </is>
      </c>
      <c r="G12" s="250" t="inlineStr">
        <is>
          <t>SI</t>
        </is>
      </c>
      <c r="H12" s="252" t="inlineStr">
        <is>
          <t>NO</t>
        </is>
      </c>
      <c r="I12" s="250" t="inlineStr">
        <is>
          <t>SI</t>
        </is>
      </c>
      <c r="J12" s="250" t="inlineStr">
        <is>
          <t>SI</t>
        </is>
      </c>
      <c r="K12" s="250" t="inlineStr">
        <is>
          <t>SI</t>
        </is>
      </c>
      <c r="L12" s="250" t="inlineStr">
        <is>
          <t>SI</t>
        </is>
      </c>
      <c r="M12" s="250" t="inlineStr">
        <is>
          <t>SI</t>
        </is>
      </c>
      <c r="N12" s="250" t="inlineStr">
        <is>
          <t>SI</t>
        </is>
      </c>
      <c r="O12" s="251" t="inlineStr">
        <is>
          <t>?</t>
        </is>
      </c>
    </row>
    <row r="13" ht="15" customHeight="1" s="137">
      <c r="A13" s="141" t="inlineStr">
        <is>
          <t>ChatGPT</t>
        </is>
      </c>
      <c r="B13" s="143" t="n">
        <v>-23</v>
      </c>
      <c r="C13" s="252" t="inlineStr">
        <is>
          <t>NO</t>
        </is>
      </c>
      <c r="D13" s="252" t="inlineStr">
        <is>
          <t>NO</t>
        </is>
      </c>
      <c r="E13" s="252" t="inlineStr">
        <is>
          <t>NO</t>
        </is>
      </c>
      <c r="F13" s="252" t="inlineStr">
        <is>
          <t>NO</t>
        </is>
      </c>
      <c r="G13" s="252" t="inlineStr">
        <is>
          <t>NO</t>
        </is>
      </c>
      <c r="H13" s="252" t="inlineStr">
        <is>
          <t>NO</t>
        </is>
      </c>
      <c r="I13" s="250" t="inlineStr">
        <is>
          <t>SI</t>
        </is>
      </c>
      <c r="J13" s="250" t="inlineStr">
        <is>
          <t>SI</t>
        </is>
      </c>
      <c r="K13" s="250" t="inlineStr">
        <is>
          <t>SI</t>
        </is>
      </c>
      <c r="L13" s="250" t="inlineStr">
        <is>
          <t>SI</t>
        </is>
      </c>
      <c r="M13" s="250" t="inlineStr">
        <is>
          <t>SI</t>
        </is>
      </c>
      <c r="N13" s="250" t="inlineStr">
        <is>
          <t>SI</t>
        </is>
      </c>
      <c r="O13" s="251" t="inlineStr">
        <is>
          <t>?</t>
        </is>
      </c>
    </row>
    <row r="14" ht="15" customHeight="1" s="137">
      <c r="A14" s="146" t="inlineStr">
        <is>
          <t>Cursor AI</t>
        </is>
      </c>
      <c r="B14" s="148" t="n">
        <v>-17.5</v>
      </c>
      <c r="C14" s="252" t="inlineStr">
        <is>
          <t>NO</t>
        </is>
      </c>
      <c r="D14" s="252" t="inlineStr">
        <is>
          <t>NO</t>
        </is>
      </c>
      <c r="E14" s="252" t="inlineStr">
        <is>
          <t>NO</t>
        </is>
      </c>
      <c r="F14" s="252" t="inlineStr">
        <is>
          <t>NO</t>
        </is>
      </c>
      <c r="G14" s="252" t="inlineStr">
        <is>
          <t>NO</t>
        </is>
      </c>
      <c r="H14" s="252" t="inlineStr">
        <is>
          <t>NO</t>
        </is>
      </c>
      <c r="I14" s="250" t="inlineStr">
        <is>
          <t>SI</t>
        </is>
      </c>
      <c r="J14" s="250" t="inlineStr">
        <is>
          <t>SI</t>
        </is>
      </c>
      <c r="K14" s="250" t="inlineStr">
        <is>
          <t>SI</t>
        </is>
      </c>
      <c r="L14" s="250" t="inlineStr">
        <is>
          <t>SI</t>
        </is>
      </c>
      <c r="M14" s="250" t="inlineStr">
        <is>
          <t>SI</t>
        </is>
      </c>
      <c r="N14" s="250" t="inlineStr">
        <is>
          <t>SI</t>
        </is>
      </c>
      <c r="O14" s="251" t="inlineStr">
        <is>
          <t>?</t>
        </is>
      </c>
    </row>
    <row r="15" ht="15" customHeight="1" s="137">
      <c r="A15" s="141" t="inlineStr">
        <is>
          <t>IONOS Cloud</t>
        </is>
      </c>
      <c r="B15" s="143" t="n">
        <v>-6.5</v>
      </c>
      <c r="C15" s="252" t="inlineStr">
        <is>
          <t>NO</t>
        </is>
      </c>
      <c r="D15" s="252" t="inlineStr">
        <is>
          <t>NO</t>
        </is>
      </c>
      <c r="E15" s="252" t="inlineStr">
        <is>
          <t>NO</t>
        </is>
      </c>
      <c r="F15" s="252" t="inlineStr">
        <is>
          <t>NO</t>
        </is>
      </c>
      <c r="G15" s="252" t="inlineStr">
        <is>
          <t>NO</t>
        </is>
      </c>
      <c r="H15" s="252" t="inlineStr">
        <is>
          <t>NO</t>
        </is>
      </c>
      <c r="I15" s="250" t="inlineStr">
        <is>
          <t>SI</t>
        </is>
      </c>
      <c r="J15" s="250" t="inlineStr">
        <is>
          <t>SI</t>
        </is>
      </c>
      <c r="K15" s="250" t="inlineStr">
        <is>
          <t>SI</t>
        </is>
      </c>
      <c r="L15" s="250" t="inlineStr">
        <is>
          <t>SI</t>
        </is>
      </c>
      <c r="M15" s="250" t="inlineStr">
        <is>
          <t>SI</t>
        </is>
      </c>
      <c r="N15" s="250" t="inlineStr">
        <is>
          <t>SI</t>
        </is>
      </c>
      <c r="O15" s="251" t="inlineStr">
        <is>
          <t>?</t>
        </is>
      </c>
    </row>
    <row r="16" ht="15" customHeight="1" s="137">
      <c r="A16" s="146" t="inlineStr">
        <is>
          <t>Disney+</t>
        </is>
      </c>
      <c r="B16" s="148" t="n">
        <v>-6.99</v>
      </c>
      <c r="C16" s="252" t="inlineStr">
        <is>
          <t>NO</t>
        </is>
      </c>
      <c r="D16" s="252" t="inlineStr">
        <is>
          <t>NO</t>
        </is>
      </c>
      <c r="E16" s="252" t="inlineStr">
        <is>
          <t>NO</t>
        </is>
      </c>
      <c r="F16" s="252" t="inlineStr">
        <is>
          <t>NO</t>
        </is>
      </c>
      <c r="G16" s="252" t="inlineStr">
        <is>
          <t>NO</t>
        </is>
      </c>
      <c r="H16" s="252" t="inlineStr">
        <is>
          <t>NO</t>
        </is>
      </c>
      <c r="I16" s="250" t="inlineStr">
        <is>
          <t>SI</t>
        </is>
      </c>
      <c r="J16" s="250" t="inlineStr">
        <is>
          <t>SI</t>
        </is>
      </c>
      <c r="K16" s="250" t="inlineStr">
        <is>
          <t>SI</t>
        </is>
      </c>
      <c r="L16" s="250" t="inlineStr">
        <is>
          <t>SI</t>
        </is>
      </c>
      <c r="M16" s="250" t="inlineStr">
        <is>
          <t>SI</t>
        </is>
      </c>
      <c r="N16" s="250" t="inlineStr">
        <is>
          <t>SI</t>
        </is>
      </c>
      <c r="O16" s="251" t="inlineStr">
        <is>
          <t>?</t>
        </is>
      </c>
    </row>
    <row r="17" ht="15" customHeight="1" s="137">
      <c r="A17" s="141" t="inlineStr">
        <is>
          <t>Traspaso 911341954</t>
        </is>
      </c>
      <c r="B17" s="143" t="n">
        <v>-8.99</v>
      </c>
      <c r="C17" s="252" t="inlineStr">
        <is>
          <t>NO</t>
        </is>
      </c>
      <c r="D17" s="250" t="inlineStr">
        <is>
          <t>SI</t>
        </is>
      </c>
      <c r="E17" s="250" t="inlineStr">
        <is>
          <t>SI</t>
        </is>
      </c>
      <c r="F17" s="250" t="inlineStr">
        <is>
          <t>SI</t>
        </is>
      </c>
      <c r="G17" s="250" t="inlineStr">
        <is>
          <t>SI</t>
        </is>
      </c>
      <c r="H17" s="250" t="inlineStr">
        <is>
          <t>SI</t>
        </is>
      </c>
      <c r="I17" s="252" t="inlineStr">
        <is>
          <t>NO</t>
        </is>
      </c>
      <c r="J17" s="250" t="inlineStr">
        <is>
          <t>SI</t>
        </is>
      </c>
      <c r="K17" s="250" t="inlineStr">
        <is>
          <t>SI</t>
        </is>
      </c>
      <c r="L17" s="250" t="inlineStr">
        <is>
          <t>SI</t>
        </is>
      </c>
      <c r="M17" s="252" t="inlineStr">
        <is>
          <t>NO</t>
        </is>
      </c>
      <c r="N17" s="252" t="inlineStr">
        <is>
          <t>NO</t>
        </is>
      </c>
      <c r="O17" s="253" t="inlineStr">
        <is>
          <t>?</t>
        </is>
      </c>
    </row>
    <row r="18" ht="15" customHeight="1" s="137">
      <c r="A18" s="146" t="inlineStr">
        <is>
          <t>UTESLAR</t>
        </is>
      </c>
      <c r="B18" s="148" t="n">
        <v>-20</v>
      </c>
      <c r="C18" s="252" t="inlineStr">
        <is>
          <t>NO</t>
        </is>
      </c>
      <c r="D18" s="252" t="inlineStr">
        <is>
          <t>NO</t>
        </is>
      </c>
      <c r="E18" s="250" t="inlineStr">
        <is>
          <t>SI</t>
        </is>
      </c>
      <c r="F18" s="252" t="inlineStr">
        <is>
          <t>NO</t>
        </is>
      </c>
      <c r="G18" s="252" t="inlineStr">
        <is>
          <t>NO</t>
        </is>
      </c>
      <c r="H18" s="252" t="inlineStr">
        <is>
          <t>NO</t>
        </is>
      </c>
      <c r="I18" s="252" t="inlineStr">
        <is>
          <t>NO</t>
        </is>
      </c>
      <c r="J18" s="252" t="inlineStr">
        <is>
          <t>NO</t>
        </is>
      </c>
      <c r="K18" s="252" t="inlineStr">
        <is>
          <t>NO</t>
        </is>
      </c>
      <c r="L18" s="252" t="inlineStr">
        <is>
          <t>NO</t>
        </is>
      </c>
      <c r="M18" s="252" t="inlineStr">
        <is>
          <t>NO</t>
        </is>
      </c>
      <c r="N18" s="252" t="inlineStr">
        <is>
          <t>NO</t>
        </is>
      </c>
      <c r="O18" s="253" t="inlineStr">
        <is>
          <t>?</t>
        </is>
      </c>
    </row>
    <row r="19" ht="15" customHeight="1" s="137">
      <c r="A19" s="141" t="inlineStr">
        <is>
          <t>Ayto. Logroño</t>
        </is>
      </c>
      <c r="B19" s="143" t="n">
        <v>-76.67</v>
      </c>
      <c r="C19" s="252" t="inlineStr">
        <is>
          <t>NO</t>
        </is>
      </c>
      <c r="D19" s="252" t="inlineStr">
        <is>
          <t>NO</t>
        </is>
      </c>
      <c r="E19" s="250" t="inlineStr">
        <is>
          <t>SI</t>
        </is>
      </c>
      <c r="F19" s="252" t="inlineStr">
        <is>
          <t>NO</t>
        </is>
      </c>
      <c r="G19" s="252" t="inlineStr">
        <is>
          <t>NO</t>
        </is>
      </c>
      <c r="H19" s="250" t="inlineStr">
        <is>
          <t>SI</t>
        </is>
      </c>
      <c r="I19" s="252" t="inlineStr">
        <is>
          <t>NO</t>
        </is>
      </c>
      <c r="J19" s="250" t="inlineStr">
        <is>
          <t>SI</t>
        </is>
      </c>
      <c r="K19" s="252" t="inlineStr">
        <is>
          <t>NO</t>
        </is>
      </c>
      <c r="L19" s="252" t="inlineStr">
        <is>
          <t>NO</t>
        </is>
      </c>
      <c r="M19" s="250" t="inlineStr">
        <is>
          <t>SI</t>
        </is>
      </c>
      <c r="N19" s="252" t="inlineStr">
        <is>
          <t>NO</t>
        </is>
      </c>
      <c r="O19" s="253" t="inlineStr">
        <is>
          <t>?</t>
        </is>
      </c>
    </row>
    <row r="20" ht="15" customHeight="1" s="137">
      <c r="A20" s="146" t="inlineStr">
        <is>
          <t>Amazon Prime</t>
        </is>
      </c>
      <c r="B20" s="148" t="n">
        <v>-9.99</v>
      </c>
      <c r="C20" s="252" t="inlineStr">
        <is>
          <t>NO</t>
        </is>
      </c>
      <c r="D20" s="252" t="inlineStr">
        <is>
          <t>NO</t>
        </is>
      </c>
      <c r="E20" s="252" t="inlineStr">
        <is>
          <t>NO</t>
        </is>
      </c>
      <c r="F20" s="252" t="inlineStr">
        <is>
          <t>NO</t>
        </is>
      </c>
      <c r="G20" s="252" t="inlineStr">
        <is>
          <t>NO</t>
        </is>
      </c>
      <c r="H20" s="252" t="inlineStr">
        <is>
          <t>NO</t>
        </is>
      </c>
      <c r="I20" s="250" t="inlineStr">
        <is>
          <t>SI</t>
        </is>
      </c>
      <c r="J20" s="250" t="inlineStr">
        <is>
          <t>SI</t>
        </is>
      </c>
      <c r="K20" s="250" t="inlineStr">
        <is>
          <t>SI</t>
        </is>
      </c>
      <c r="L20" s="250" t="inlineStr">
        <is>
          <t>SI</t>
        </is>
      </c>
      <c r="M20" s="250" t="inlineStr">
        <is>
          <t>SI</t>
        </is>
      </c>
      <c r="N20" s="250" t="inlineStr">
        <is>
          <t>SI</t>
        </is>
      </c>
      <c r="O20" s="251" t="inlineStr">
        <is>
          <t>?</t>
        </is>
      </c>
    </row>
    <row r="21" ht="15" customHeight="1" s="137">
      <c r="A21" s="254" t="inlineStr">
        <is>
          <t>Hipoteca</t>
        </is>
      </c>
      <c r="B21" s="255" t="n">
        <v>135.93</v>
      </c>
      <c r="C21" s="256" t="inlineStr">
        <is>
          <t>?</t>
        </is>
      </c>
      <c r="D21" s="256" t="inlineStr">
        <is>
          <t>?</t>
        </is>
      </c>
      <c r="E21" s="256" t="inlineStr">
        <is>
          <t>?</t>
        </is>
      </c>
      <c r="F21" s="256" t="inlineStr">
        <is>
          <t>?</t>
        </is>
      </c>
      <c r="G21" s="256" t="inlineStr">
        <is>
          <t>?</t>
        </is>
      </c>
      <c r="H21" s="256" t="inlineStr">
        <is>
          <t>?</t>
        </is>
      </c>
      <c r="I21" s="256" t="inlineStr">
        <is>
          <t>?</t>
        </is>
      </c>
      <c r="J21" s="256" t="inlineStr">
        <is>
          <t>?</t>
        </is>
      </c>
      <c r="K21" s="256" t="inlineStr">
        <is>
          <t>?</t>
        </is>
      </c>
      <c r="L21" s="256" t="inlineStr">
        <is>
          <t>?</t>
        </is>
      </c>
      <c r="M21" s="256" t="inlineStr">
        <is>
          <t>?</t>
        </is>
      </c>
      <c r="N21" s="256" t="inlineStr">
        <is>
          <t>?</t>
        </is>
      </c>
      <c r="O21" s="257" t="inlineStr">
        <is>
          <t>?</t>
        </is>
      </c>
    </row>
    <row r="22" ht="15" customHeight="1" s="137">
      <c r="A22" s="258" t="inlineStr">
        <is>
          <t>TOTAL MENSUAL</t>
        </is>
      </c>
      <c r="B22" s="259">
        <f>SUM(B4:B21)</f>
        <v/>
      </c>
      <c r="C22" s="260">
        <f>SUMIF(C4:C21,"SI",B4:B21)</f>
        <v/>
      </c>
      <c r="D22" s="260">
        <f>SUMIF(D4:D21,"SI",B4:B21)</f>
        <v/>
      </c>
      <c r="E22" s="260">
        <f>SUMIF(E4:E21,"SI",B4:B21)</f>
        <v/>
      </c>
      <c r="F22" s="260">
        <f>SUMIF(F4:F21,"SI",B4:B21)</f>
        <v/>
      </c>
      <c r="G22" s="260">
        <f>SUMIF(G4:G21,"SI",B4:B21)</f>
        <v/>
      </c>
      <c r="H22" s="260">
        <f>SUMIF(H4:H21,"SI",B4:B21)</f>
        <v/>
      </c>
      <c r="I22" s="260">
        <f>SUMIF(I4:I21,"SI",B4:B21)</f>
        <v/>
      </c>
      <c r="J22" s="260">
        <f>SUMIF(J4:J21,"SI",B4:B21)</f>
        <v/>
      </c>
      <c r="K22" s="260">
        <f>SUMIF(K4:K21,"SI",B4:B21)</f>
        <v/>
      </c>
      <c r="L22" s="260">
        <f>SUMIF(L4:L21,"SI",B4:B21)</f>
        <v/>
      </c>
      <c r="M22" s="260">
        <f>SUMIF(M4:M21,"SI",B4:B21)</f>
        <v/>
      </c>
      <c r="N22" s="260">
        <f>SUMIF(N4:N21,"SI",B4:B21)</f>
        <v/>
      </c>
      <c r="O22" s="261" t="inlineStr">
        <is>
          <t>?</t>
        </is>
      </c>
    </row>
    <row r="23" ht="15" customHeight="1" s="137"/>
    <row r="24" ht="21.75" customHeight="1" s="137"/>
    <row r="25" ht="15" customHeight="1" s="137"/>
  </sheetData>
  <mergeCells count="2"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136" min="1" max="1"/>
    <col width="28" customWidth="1" style="136" min="2" max="2"/>
    <col width="60" customWidth="1" style="136" min="3" max="3"/>
  </cols>
  <sheetData>
    <row r="1" ht="30" customHeight="1" s="137">
      <c r="A1" s="248" t="inlineStr">
        <is>
          <t>📧 CÓMO CONFIGURAR AVISOS AUTOMÁTICOS EN GOOGLE SHEETS</t>
        </is>
      </c>
    </row>
    <row r="2" ht="18" customHeight="1" s="137">
      <c r="A2" s="262" t="inlineStr">
        <is>
          <t>Sigue estos pasos para recibir avisos automáticos por email de tus pagos próximos:</t>
        </is>
      </c>
    </row>
    <row r="3" ht="36" customHeight="1" s="137">
      <c r="A3" s="263" t="inlineStr">
        <is>
          <t>PASO 1</t>
        </is>
      </c>
      <c r="B3" s="264" t="inlineStr">
        <is>
          <t>Subir este Excel a Google Drive</t>
        </is>
      </c>
      <c r="C3" s="265" t="inlineStr">
        <is>
          <t>Ve a drive.google.com → Nuevo → Subir archivo → selecciona este Excel → Abre con Google Sheets</t>
        </is>
      </c>
    </row>
    <row r="4" ht="36" customHeight="1" s="137">
      <c r="A4" s="263" t="inlineStr">
        <is>
          <t>PASO 2</t>
        </is>
      </c>
      <c r="B4" s="266" t="inlineStr">
        <is>
          <t>Acceder a Apps Script</t>
        </is>
      </c>
      <c r="C4" s="267" t="inlineStr">
        <is>
          <t>En Google Sheets: Extensiones → Apps Script → Se abre el editor de código</t>
        </is>
      </c>
    </row>
    <row r="5" ht="36" customHeight="1" s="137">
      <c r="A5" s="263" t="inlineStr">
        <is>
          <t>PASO 3</t>
        </is>
      </c>
      <c r="B5" s="264" t="inlineStr">
        <is>
          <t>Pegar el script de avisos</t>
        </is>
      </c>
      <c r="C5" s="265" t="inlineStr">
        <is>
          <t>Borra el contenido y pega el script que aparece más abajo en esta hoja</t>
        </is>
      </c>
    </row>
    <row r="6" ht="36" customHeight="1" s="137">
      <c r="A6" s="263" t="inlineStr">
        <is>
          <t>PASO 4</t>
        </is>
      </c>
      <c r="B6" s="266" t="inlineStr">
        <is>
          <t>Configurar tu email</t>
        </is>
      </c>
      <c r="C6" s="267" t="inlineStr">
        <is>
          <t>Cambia 'TU_EMAIL@gmail.com' en el script por tu email real</t>
        </is>
      </c>
    </row>
    <row r="7" ht="36" customHeight="1" s="137">
      <c r="A7" s="263" t="inlineStr">
        <is>
          <t>PASO 5</t>
        </is>
      </c>
      <c r="B7" s="264" t="inlineStr">
        <is>
          <t>Crear un activador automático</t>
        </is>
      </c>
      <c r="C7" s="265" t="inlineStr">
        <is>
          <t>En Apps Script: Reloj (⏰) → Añadir activador → Función: enviarAvisos → Evento: Temporizador → Cada día (por la mañana)</t>
        </is>
      </c>
    </row>
    <row r="8" ht="36" customHeight="1" s="137">
      <c r="A8" s="263" t="inlineStr">
        <is>
          <t>PASO 6</t>
        </is>
      </c>
      <c r="B8" s="266" t="inlineStr">
        <is>
          <t>Autorizar permisos</t>
        </is>
      </c>
      <c r="C8" s="267" t="inlineStr">
        <is>
          <t>La primera vez Google te pedirá permisos para enviar email. Acepta con tu cuenta de Google</t>
        </is>
      </c>
    </row>
    <row r="9" ht="36" customHeight="1" s="137">
      <c r="A9" s="263" t="inlineStr">
        <is>
          <t>PASO 7</t>
        </is>
      </c>
      <c r="B9" s="264" t="inlineStr">
        <is>
          <t>Probar el script</t>
        </is>
      </c>
      <c r="C9" s="265" t="inlineStr">
        <is>
          <t>Pulsa ▶️ Ejecutar sobre la función 'enviarAvisos' para recibir un email de prueba inmediatamente</t>
        </is>
      </c>
    </row>
    <row r="11" ht="21.75" customHeight="1" s="137">
      <c r="A11" s="268" t="inlineStr">
        <is>
          <t>📋 SCRIPT PARA GOOGLE APPS SCRIPT (copia y pega esto):</t>
        </is>
      </c>
    </row>
    <row r="12" ht="15" customHeight="1" s="137">
      <c r="A12" s="269" t="inlineStr">
        <is>
          <t>function enviarAvisos() {</t>
        </is>
      </c>
      <c r="B12" s="270" t="n"/>
      <c r="C12" s="271" t="n"/>
    </row>
    <row r="13" ht="15" customHeight="1" s="137">
      <c r="A13" s="269" t="inlineStr">
        <is>
          <t xml:space="preserve">  var email = 'TU_EMAIL@gmail.com'; // ← CAMBIA ESTO</t>
        </is>
      </c>
      <c r="B13" s="270" t="n"/>
      <c r="C13" s="271" t="n"/>
    </row>
    <row r="14" ht="15" customHeight="1" s="137">
      <c r="A14" s="269" t="inlineStr">
        <is>
          <t xml:space="preserve">  var hoy = new Date();</t>
        </is>
      </c>
      <c r="B14" s="270" t="n"/>
      <c r="C14" s="271" t="n"/>
    </row>
    <row r="15" ht="15" customHeight="1" s="137">
      <c r="A15" s="269" t="inlineStr">
        <is>
          <t xml:space="preserve">  var diaHoy = hoy.getDate();</t>
        </is>
      </c>
      <c r="B15" s="270" t="n"/>
      <c r="C15" s="271" t="n"/>
    </row>
    <row r="16" ht="15" customHeight="1" s="137">
      <c r="A16" s="269" t="inlineStr">
        <is>
          <t xml:space="preserve">  var sheet = SpreadsheetApp.getActiveSpreadsheet()</t>
        </is>
      </c>
      <c r="B16" s="270" t="n"/>
      <c r="C16" s="271" t="n"/>
    </row>
    <row r="17" ht="15" customHeight="1" s="137">
      <c r="A17" s="269" t="inlineStr">
        <is>
          <t xml:space="preserve">             .getSheetByName('📅 Calendario Pagos');</t>
        </is>
      </c>
      <c r="B17" s="270" t="n"/>
      <c r="C17" s="271" t="n"/>
    </row>
    <row r="18" ht="15" customHeight="1" s="137">
      <c r="A18" s="269" t="inlineStr">
        <is>
          <t xml:space="preserve">  var datos = sheet.getRange('A4:H23').getValues();</t>
        </is>
      </c>
      <c r="B18" s="270" t="n"/>
      <c r="C18" s="271" t="n"/>
    </row>
    <row r="19" ht="15" customHeight="1" s="137">
      <c r="A19" s="269" t="inlineStr">
        <is>
          <t xml:space="preserve">  var proximosPagos = [];</t>
        </is>
      </c>
      <c r="B19" s="270" t="n"/>
      <c r="C19" s="271" t="n"/>
    </row>
    <row r="20" ht="15" customHeight="1" s="137">
      <c r="A20" s="269" t="inlineStr">
        <is>
          <t xml:space="preserve">  var urgentes = [];</t>
        </is>
      </c>
      <c r="B20" s="270" t="n"/>
      <c r="C20" s="271" t="n"/>
    </row>
    <row r="21" ht="15" customHeight="1" s="137">
      <c r="A21" s="269" t="n"/>
      <c r="B21" s="270" t="n"/>
      <c r="C21" s="271" t="n"/>
    </row>
    <row r="22" ht="15" customHeight="1" s="137">
      <c r="A22" s="269" t="inlineStr">
        <is>
          <t xml:space="preserve">  datos.forEach(function(fila) {</t>
        </is>
      </c>
      <c r="B22" s="270" t="n"/>
      <c r="C22" s="271" t="n"/>
    </row>
    <row r="23" ht="15" customHeight="1" s="137">
      <c r="A23" s="269" t="inlineStr">
        <is>
          <t xml:space="preserve">    if (!fila[0]) return;</t>
        </is>
      </c>
      <c r="B23" s="270" t="n"/>
      <c r="C23" s="271" t="n"/>
    </row>
    <row r="24" ht="15" customHeight="1" s="137">
      <c r="A24" s="269" t="inlineStr">
        <is>
          <t xml:space="preserve">    var concepto = fila[0];</t>
        </is>
      </c>
      <c r="B24" s="270" t="n"/>
      <c r="C24" s="271" t="n"/>
    </row>
    <row r="25" ht="15" customHeight="1" s="137">
      <c r="A25" s="269" t="inlineStr">
        <is>
          <t xml:space="preserve">    var diaCobro = parseInt(fila[1]);</t>
        </is>
      </c>
      <c r="B25" s="270" t="n"/>
      <c r="C25" s="271" t="n"/>
    </row>
    <row r="26" ht="15" customHeight="1" s="137">
      <c r="A26" s="269" t="inlineStr">
        <is>
          <t xml:space="preserve">    var importe = fila[2];</t>
        </is>
      </c>
      <c r="B26" s="270" t="n"/>
      <c r="C26" s="271" t="n"/>
    </row>
    <row r="27" ht="15" customHeight="1" s="137">
      <c r="A27" s="269" t="inlineStr">
        <is>
          <t xml:space="preserve">    var diasHasta = diaCobro - diaHoy;</t>
        </is>
      </c>
      <c r="B27" s="270" t="n"/>
      <c r="C27" s="271" t="n"/>
    </row>
    <row r="28" ht="15" customHeight="1" s="137">
      <c r="A28" s="269" t="inlineStr">
        <is>
          <t xml:space="preserve">    if (diasHasta &lt; 0) return; // ya pasó</t>
        </is>
      </c>
      <c r="B28" s="270" t="n"/>
      <c r="C28" s="271" t="n"/>
    </row>
    <row r="29" ht="15" customHeight="1" s="137">
      <c r="A29" s="269" t="n"/>
      <c r="B29" s="270" t="n"/>
      <c r="C29" s="271" t="n"/>
    </row>
    <row r="30" ht="15" customHeight="1" s="137">
      <c r="A30" s="269" t="inlineStr">
        <is>
          <t xml:space="preserve">    if (diasHasta &lt;= 1) {</t>
        </is>
      </c>
      <c r="B30" s="270" t="n"/>
      <c r="C30" s="271" t="n"/>
    </row>
    <row r="31" ht="15" customHeight="1" s="137">
      <c r="A31" s="269" t="inlineStr">
        <is>
          <t xml:space="preserve">      urgentes.push('🔴 HOY/MAÑANA: ' + concepto + ' → ' + importe + '€');</t>
        </is>
      </c>
      <c r="B31" s="270" t="n"/>
      <c r="C31" s="271" t="n"/>
    </row>
    <row r="32" ht="15" customHeight="1" s="137">
      <c r="A32" s="269" t="inlineStr">
        <is>
          <t xml:space="preserve">    } else if (diasHasta &lt;= 5) {</t>
        </is>
      </c>
      <c r="B32" s="270" t="n"/>
      <c r="C32" s="271" t="n"/>
    </row>
    <row r="33" ht="15" customHeight="1" s="137">
      <c r="A33" s="269" t="inlineStr">
        <is>
          <t xml:space="preserve">      proximosPagos.push('🟡 En ' + diasHasta + ' días: ' + concepto + ' → ' + importe + '€');</t>
        </is>
      </c>
      <c r="B33" s="270" t="n"/>
      <c r="C33" s="271" t="n"/>
    </row>
    <row r="34" ht="15" customHeight="1" s="137">
      <c r="A34" s="269" t="inlineStr">
        <is>
          <t xml:space="preserve">    }</t>
        </is>
      </c>
      <c r="B34" s="270" t="n"/>
      <c r="C34" s="271" t="n"/>
    </row>
    <row r="35" ht="15" customHeight="1" s="137">
      <c r="A35" s="269" t="inlineStr">
        <is>
          <t xml:space="preserve">  });</t>
        </is>
      </c>
      <c r="B35" s="270" t="n"/>
      <c r="C35" s="271" t="n"/>
    </row>
    <row r="36" ht="15" customHeight="1" s="137">
      <c r="A36" s="269" t="n"/>
      <c r="B36" s="270" t="n"/>
      <c r="C36" s="271" t="n"/>
    </row>
    <row r="37" ht="15" customHeight="1" s="137">
      <c r="A37" s="269" t="inlineStr">
        <is>
          <t xml:space="preserve">  if (urgentes.length === 0 &amp;&amp; proximosPagos.length === 0) return;</t>
        </is>
      </c>
      <c r="B37" s="270" t="n"/>
      <c r="C37" s="271" t="n"/>
    </row>
    <row r="38" ht="15" customHeight="1" s="137">
      <c r="A38" s="269" t="n"/>
      <c r="B38" s="270" t="n"/>
      <c r="C38" s="271" t="n"/>
    </row>
    <row r="39" ht="15" customHeight="1" s="137">
      <c r="A39" s="269" t="inlineStr">
        <is>
          <t xml:space="preserve">  var asunto = '💳 Aviso de pagos próximos - ' + hoy.toLocaleDateString('es-ES');</t>
        </is>
      </c>
      <c r="B39" s="270" t="n"/>
      <c r="C39" s="271" t="n"/>
    </row>
    <row r="40" ht="15" customHeight="1" s="137">
      <c r="A40" s="269" t="inlineStr">
        <is>
          <t xml:space="preserve">  var cuerpo = '=== PAGOS URGENTES ===\n';</t>
        </is>
      </c>
      <c r="B40" s="270" t="n"/>
      <c r="C40" s="271" t="n"/>
    </row>
    <row r="41" ht="15" customHeight="1" s="137">
      <c r="A41" s="269" t="inlineStr">
        <is>
          <t xml:space="preserve">  cuerpo += urgentes.join('\n') || 'Ninguno hoy';</t>
        </is>
      </c>
      <c r="B41" s="270" t="n"/>
      <c r="C41" s="271" t="n"/>
    </row>
    <row r="42" ht="15" customHeight="1" s="137">
      <c r="A42" s="269" t="inlineStr">
        <is>
          <t xml:space="preserve">  cuerpo += '\n\n=== PRÓXIMOS 5 DÍAS ===\n';</t>
        </is>
      </c>
      <c r="B42" s="270" t="n"/>
      <c r="C42" s="271" t="n"/>
    </row>
    <row r="43" ht="15" customHeight="1" s="137">
      <c r="A43" s="269" t="inlineStr">
        <is>
          <t xml:space="preserve">  cuerpo += proximosPagos.join('\n') || 'Ninguno';</t>
        </is>
      </c>
      <c r="B43" s="270" t="n"/>
      <c r="C43" s="271" t="n"/>
    </row>
    <row r="44" ht="15" customHeight="1" s="137">
      <c r="A44" s="269" t="inlineStr">
        <is>
          <t xml:space="preserve">  cuerpo += '\n\nRevisa tu Google Sheet para más detalles.';</t>
        </is>
      </c>
      <c r="B44" s="270" t="n"/>
      <c r="C44" s="271" t="n"/>
    </row>
    <row r="45" ht="15" customHeight="1" s="137">
      <c r="A45" s="269" t="n"/>
      <c r="B45" s="270" t="n"/>
      <c r="C45" s="271" t="n"/>
    </row>
    <row r="46" ht="15" customHeight="1" s="137">
      <c r="A46" s="269" t="inlineStr">
        <is>
          <t xml:space="preserve">  MailApp.sendEmail(email, asunto, cuerpo);</t>
        </is>
      </c>
      <c r="B46" s="270" t="n"/>
      <c r="C46" s="271" t="n"/>
    </row>
    <row r="47" ht="15" customHeight="1" s="137">
      <c r="A47" s="269" t="inlineStr">
        <is>
          <t>}</t>
        </is>
      </c>
      <c r="B47" s="270" t="n"/>
      <c r="C47" s="271" t="n"/>
    </row>
  </sheetData>
  <mergeCells count="39">
    <mergeCell ref="A25:C25"/>
    <mergeCell ref="A41:C41"/>
    <mergeCell ref="A46:C46"/>
    <mergeCell ref="A37:C37"/>
    <mergeCell ref="A18:C18"/>
    <mergeCell ref="A27:C27"/>
    <mergeCell ref="A21:C21"/>
    <mergeCell ref="A12:C12"/>
    <mergeCell ref="A26:C26"/>
    <mergeCell ref="A2:C2"/>
    <mergeCell ref="A42:C42"/>
    <mergeCell ref="A33:C33"/>
    <mergeCell ref="A47:C47"/>
    <mergeCell ref="A23:C23"/>
    <mergeCell ref="A32:C32"/>
    <mergeCell ref="A14:C14"/>
    <mergeCell ref="A22:C22"/>
    <mergeCell ref="A17:C17"/>
    <mergeCell ref="A29:C29"/>
    <mergeCell ref="A35:C35"/>
    <mergeCell ref="A20:C20"/>
    <mergeCell ref="A38:C38"/>
    <mergeCell ref="A43:C43"/>
    <mergeCell ref="A28:C28"/>
    <mergeCell ref="A13:C13"/>
    <mergeCell ref="A19:C19"/>
    <mergeCell ref="A44:C44"/>
    <mergeCell ref="A31:C31"/>
    <mergeCell ref="A40:C40"/>
    <mergeCell ref="A30:C30"/>
    <mergeCell ref="A39:C39"/>
    <mergeCell ref="A34:C34"/>
    <mergeCell ref="A15:C15"/>
    <mergeCell ref="A24:C24"/>
    <mergeCell ref="A36:C36"/>
    <mergeCell ref="A11:C11"/>
    <mergeCell ref="A1:C1"/>
    <mergeCell ref="A45:C45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136" min="1" max="1"/>
    <col width="12" customWidth="1" style="136" min="2" max="14"/>
  </cols>
  <sheetData>
    <row r="1" ht="30" customHeight="1" s="137">
      <c r="A1" s="272" t="inlineStr">
        <is>
          <t>📊 EVOLUCIÓN DE DEUDAS — Préstamos Personales e Hipoteca</t>
        </is>
      </c>
    </row>
    <row r="2" ht="15" customHeight="1" s="137">
      <c r="A2" s="273" t="inlineStr">
        <is>
          <t>💡 Introduce los saldos pendientes cada mes para ver la evolución. Azul = dato entrada | Negro = fórmula</t>
        </is>
      </c>
    </row>
    <row r="4" ht="15" customHeight="1" s="137">
      <c r="A4" s="274" t="inlineStr">
        <is>
          <t>⚙️ DATOS DE LOS PRÉSTAMOS</t>
        </is>
      </c>
    </row>
    <row r="5" ht="23.25" customHeight="1" s="137">
      <c r="A5" s="159" t="inlineStr">
        <is>
          <t>Producto</t>
        </is>
      </c>
      <c r="B5" s="159" t="inlineStr">
        <is>
          <t>Saldo Inicial (€)</t>
        </is>
      </c>
      <c r="C5" s="159" t="inlineStr">
        <is>
          <t>Cuota Mensual (€)</t>
        </is>
      </c>
      <c r="D5" s="159" t="inlineStr">
        <is>
          <t>Tipo Interés (%)</t>
        </is>
      </c>
    </row>
    <row r="6" ht="18" customHeight="1" s="137">
      <c r="A6" s="275" t="inlineStr">
        <is>
          <t>Préstamo 850922737-1</t>
        </is>
      </c>
      <c r="B6" s="276" t="n">
        <v>99024.31</v>
      </c>
      <c r="C6" s="276" t="n">
        <v>711.48</v>
      </c>
      <c r="D6" s="277" t="n">
        <v>0</v>
      </c>
    </row>
    <row r="7" ht="18" customHeight="1" s="137">
      <c r="A7" s="275" t="inlineStr">
        <is>
          <t>Préstamo 853198848-9</t>
        </is>
      </c>
      <c r="B7" s="276" t="n">
        <v>2636.1</v>
      </c>
      <c r="C7" s="276" t="n">
        <v>146.45</v>
      </c>
      <c r="D7" s="277" t="n">
        <v>0</v>
      </c>
    </row>
    <row r="8" ht="18" customHeight="1" s="137">
      <c r="A8" s="275" t="inlineStr">
        <is>
          <t>Cetelem (1)</t>
        </is>
      </c>
      <c r="B8" s="276" t="n">
        <v>18554.58</v>
      </c>
      <c r="C8" s="276" t="n">
        <v>497.64</v>
      </c>
      <c r="D8" s="277" t="n">
        <v>0</v>
      </c>
    </row>
    <row r="9" ht="18" customHeight="1" s="137">
      <c r="A9" s="275" t="inlineStr">
        <is>
          <t>Cetelem (2)</t>
        </is>
      </c>
      <c r="B9" s="276" t="n">
        <v>17020</v>
      </c>
      <c r="C9" s="276" t="n">
        <v>245.32</v>
      </c>
      <c r="D9" s="277" t="n">
        <v>0</v>
      </c>
    </row>
    <row r="10" ht="18" customHeight="1" s="137">
      <c r="A10" s="275" t="inlineStr">
        <is>
          <t>Hipoteca</t>
        </is>
      </c>
      <c r="B10" s="276" t="n">
        <v>13041.57</v>
      </c>
      <c r="C10" s="276" t="n">
        <v>135.93</v>
      </c>
      <c r="D10" s="277" t="n">
        <v>2.5</v>
      </c>
    </row>
    <row r="11" ht="18" customHeight="1" s="137">
      <c r="A11" s="274" t="inlineStr">
        <is>
          <t>📅 EVOLUCIÓN MENSUAL — Saldo Pendiente por Producto</t>
        </is>
      </c>
    </row>
    <row r="12" ht="18" customHeight="1" s="137">
      <c r="A12" s="159" t="inlineStr">
        <is>
          <t>Producto</t>
        </is>
      </c>
      <c r="B12" s="159" t="inlineStr">
        <is>
          <t>Feb-25</t>
        </is>
      </c>
      <c r="C12" s="159" t="inlineStr">
        <is>
          <t>Mar-25</t>
        </is>
      </c>
      <c r="D12" s="159" t="inlineStr">
        <is>
          <t>Abr-25</t>
        </is>
      </c>
      <c r="E12" s="159" t="inlineStr">
        <is>
          <t>May-25</t>
        </is>
      </c>
      <c r="F12" s="159" t="inlineStr">
        <is>
          <t>Jun-25</t>
        </is>
      </c>
      <c r="G12" s="159" t="inlineStr">
        <is>
          <t>Jul-25</t>
        </is>
      </c>
      <c r="H12" s="159" t="inlineStr">
        <is>
          <t>Ago-25</t>
        </is>
      </c>
      <c r="I12" s="159" t="inlineStr">
        <is>
          <t>Sep-25</t>
        </is>
      </c>
      <c r="J12" s="159" t="inlineStr">
        <is>
          <t>Oct-25</t>
        </is>
      </c>
      <c r="K12" s="159" t="inlineStr">
        <is>
          <t>Nov-25</t>
        </is>
      </c>
      <c r="L12" s="159" t="inlineStr">
        <is>
          <t>Dic-25</t>
        </is>
      </c>
      <c r="M12" s="159" t="inlineStr">
        <is>
          <t>Ene-26</t>
        </is>
      </c>
      <c r="N12" s="159" t="inlineStr">
        <is>
          <t>Feb-26</t>
        </is>
      </c>
    </row>
    <row r="13" ht="18" customHeight="1" s="137">
      <c r="A13" s="278" t="inlineStr">
        <is>
          <t>Préstamo 850922737-1</t>
        </is>
      </c>
      <c r="B13" s="276" t="n">
        <v>7791.63</v>
      </c>
      <c r="C13" s="279">
        <f>MAX(0,B13-$C$6)</f>
        <v/>
      </c>
      <c r="D13" s="279">
        <f>MAX(0,C13-$C$6)</f>
        <v/>
      </c>
      <c r="E13" s="279">
        <f>MAX(0,D13-$C$6)</f>
        <v/>
      </c>
      <c r="F13" s="279">
        <f>MAX(0,E13-$C$6)</f>
        <v/>
      </c>
      <c r="G13" s="279">
        <f>MAX(0,F13-$C$6)</f>
        <v/>
      </c>
      <c r="H13" s="279">
        <f>MAX(0,G13-$C$6)</f>
        <v/>
      </c>
      <c r="I13" s="279">
        <f>MAX(0,H13-$C$6)</f>
        <v/>
      </c>
      <c r="J13" s="279">
        <f>MAX(0,I13-$C$6)</f>
        <v/>
      </c>
      <c r="K13" s="279">
        <f>MAX(0,J13-$C$6)</f>
        <v/>
      </c>
      <c r="L13" s="279">
        <f>MAX(0,K13-$C$6)</f>
        <v/>
      </c>
      <c r="M13" s="279">
        <f>MAX(0,L13-$C$6)</f>
        <v/>
      </c>
      <c r="N13" s="279" t="n">
        <v>99024.31</v>
      </c>
    </row>
    <row r="14" ht="15" customHeight="1" s="137">
      <c r="A14" s="280" t="inlineStr">
        <is>
          <t>Préstamo 853198848-9</t>
        </is>
      </c>
      <c r="C14" s="281">
        <f>MAX(0,B14-$C$7)</f>
        <v/>
      </c>
      <c r="D14" s="281">
        <f>MAX(0,C14-$C$7)</f>
        <v/>
      </c>
      <c r="E14" s="281">
        <f>MAX(0,D14-$C$7)</f>
        <v/>
      </c>
      <c r="F14" s="281">
        <f>MAX(0,E14-$C$7)</f>
        <v/>
      </c>
      <c r="G14" s="281">
        <f>MAX(0,F14-$C$7)</f>
        <v/>
      </c>
      <c r="H14" s="281">
        <f>MAX(0,G14-$C$7)</f>
        <v/>
      </c>
      <c r="I14" s="281">
        <f>MAX(0,H14-$C$7)</f>
        <v/>
      </c>
      <c r="J14" s="281">
        <f>MAX(0,I14-$C$7)</f>
        <v/>
      </c>
      <c r="K14" s="281">
        <f>MAX(0,J14-$C$7)</f>
        <v/>
      </c>
      <c r="L14" s="281">
        <f>MAX(0,K14-$C$7)</f>
        <v/>
      </c>
      <c r="M14" s="281">
        <f>MAX(0,L14-$C$7)</f>
        <v/>
      </c>
      <c r="N14" s="281">
        <f>MAX(0,M14-$C$7)</f>
        <v/>
      </c>
    </row>
    <row r="15" ht="15" customHeight="1" s="137">
      <c r="A15" s="278" t="inlineStr">
        <is>
          <t>Cetelem (1)</t>
        </is>
      </c>
      <c r="B15" s="276" t="n">
        <v>11445.72</v>
      </c>
      <c r="C15" s="279">
        <f>MAX(0,B15-$C$8)</f>
        <v/>
      </c>
      <c r="D15" s="279">
        <f>MAX(0,C15-$C$8)</f>
        <v/>
      </c>
      <c r="E15" s="279">
        <f>MAX(0,D15-$C$8)</f>
        <v/>
      </c>
      <c r="F15" s="279">
        <f>MAX(0,E15-$C$8)</f>
        <v/>
      </c>
      <c r="G15" s="279">
        <f>MAX(0,F15-$C$8)</f>
        <v/>
      </c>
      <c r="H15" s="279">
        <f>MAX(0,G15-$C$8)</f>
        <v/>
      </c>
      <c r="I15" s="279">
        <f>MAX(0,H15-$C$8)</f>
        <v/>
      </c>
      <c r="J15" s="279">
        <f>MAX(0,I15-$C$8)</f>
        <v/>
      </c>
      <c r="K15" s="279">
        <f>MAX(0,J15-$C$8)</f>
        <v/>
      </c>
      <c r="L15" s="279">
        <f>MAX(0,K15-$C$8)</f>
        <v/>
      </c>
      <c r="M15" s="279">
        <f>MAX(0,L15-$C$8)</f>
        <v/>
      </c>
      <c r="N15" s="279" t="n">
        <v>18554.58</v>
      </c>
    </row>
    <row r="16" ht="18" customHeight="1" s="137">
      <c r="A16" s="280" t="inlineStr">
        <is>
          <t>Cetelem (2)</t>
        </is>
      </c>
      <c r="B16" s="276" t="n">
        <v>5642.36</v>
      </c>
      <c r="C16" s="282">
        <f>MAX(0,B16-$C$9)</f>
        <v/>
      </c>
      <c r="D16" s="282">
        <f>MAX(0,C16-$C$9)</f>
        <v/>
      </c>
      <c r="E16" s="282">
        <f>MAX(0,D16-$C$9)</f>
        <v/>
      </c>
      <c r="F16" s="282">
        <f>MAX(0,E16-$C$9)</f>
        <v/>
      </c>
      <c r="G16" s="282">
        <f>MAX(0,F16-$C$9)</f>
        <v/>
      </c>
      <c r="H16" s="282">
        <f>MAX(0,G16-$C$9)</f>
        <v/>
      </c>
      <c r="I16" s="282">
        <f>MAX(0,H16-$C$9)</f>
        <v/>
      </c>
      <c r="J16" s="282">
        <f>MAX(0,I16-$C$9)</f>
        <v/>
      </c>
      <c r="K16" s="282">
        <f>MAX(0,J16-$C$9)</f>
        <v/>
      </c>
      <c r="L16" s="282">
        <f>MAX(0,K16-$C$9)</f>
        <v/>
      </c>
      <c r="M16" s="282">
        <f>MAX(0,L16-$C$9)</f>
        <v/>
      </c>
      <c r="N16" s="282" t="n">
        <v>17020</v>
      </c>
    </row>
    <row r="17" ht="18" customHeight="1" s="137">
      <c r="A17" s="280" t="inlineStr">
        <is>
          <t>Hipoteca</t>
        </is>
      </c>
      <c r="B17" s="276" t="n">
        <v>149300</v>
      </c>
      <c r="C17" s="282">
        <f>MAX(0,B17-$C$10)</f>
        <v/>
      </c>
      <c r="D17" s="282">
        <f>MAX(0,C17-$C$10)</f>
        <v/>
      </c>
      <c r="E17" s="282">
        <f>MAX(0,D17-$C$10)</f>
        <v/>
      </c>
      <c r="F17" s="282">
        <f>MAX(0,E17-$C$10)</f>
        <v/>
      </c>
      <c r="G17" s="282">
        <f>MAX(0,F17-$C$10)</f>
        <v/>
      </c>
      <c r="H17" s="282">
        <f>MAX(0,G17-$C$10)</f>
        <v/>
      </c>
      <c r="I17" s="282">
        <f>MAX(0,H17-$C$10)</f>
        <v/>
      </c>
      <c r="J17" s="282">
        <f>MAX(0,I17-$C$10)</f>
        <v/>
      </c>
      <c r="K17" s="282">
        <f>MAX(0,J17-$C$10)</f>
        <v/>
      </c>
      <c r="L17" s="282">
        <f>MAX(0,K17-$C$10)</f>
        <v/>
      </c>
      <c r="M17" s="282">
        <f>MAX(0,L17-$C$10)</f>
        <v/>
      </c>
      <c r="N17" s="282" t="n">
        <v>13041.57</v>
      </c>
    </row>
    <row r="18" ht="18" customHeight="1" s="137">
      <c r="A18" s="159" t="inlineStr">
        <is>
          <t>TOTAL DEUDA</t>
        </is>
      </c>
      <c r="B18" s="260">
        <f>SUM(B13:B17)</f>
        <v/>
      </c>
      <c r="C18" s="260">
        <f>SUM(C13:C17)</f>
        <v/>
      </c>
      <c r="D18" s="260">
        <f>SUM(D13:D17)</f>
        <v/>
      </c>
      <c r="E18" s="260">
        <f>SUM(E13:E17)</f>
        <v/>
      </c>
      <c r="F18" s="260">
        <f>SUM(F13:F17)</f>
        <v/>
      </c>
      <c r="G18" s="260">
        <f>SUM(G13:G17)</f>
        <v/>
      </c>
      <c r="H18" s="260">
        <f>SUM(H13:H17)</f>
        <v/>
      </c>
      <c r="I18" s="260">
        <f>SUM(I13:I17)</f>
        <v/>
      </c>
      <c r="J18" s="260">
        <f>SUM(J13:J17)</f>
        <v/>
      </c>
      <c r="K18" s="260">
        <f>SUM(K13:K17)</f>
        <v/>
      </c>
      <c r="L18" s="260">
        <f>SUM(L13:L17)</f>
        <v/>
      </c>
      <c r="M18" s="260">
        <f>SUM(M13:M17)</f>
        <v/>
      </c>
      <c r="N18" s="260">
        <f>SUM(N13:N17)</f>
        <v/>
      </c>
    </row>
    <row r="19" ht="18" customHeight="1" s="137"/>
    <row r="20" ht="18" customHeight="1" s="137"/>
    <row r="21" ht="18" customHeight="1" s="137"/>
    <row r="22" ht="18" customHeight="1" s="137"/>
    <row r="23" ht="18" customHeight="1" s="137"/>
    <row r="24" ht="15" customHeight="1" s="137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2026-02-23T13:55:04Z</dcterms:created>
  <dcterms:modified xmlns:dcterms="http://purl.org/dc/terms/" xmlns:xsi="http://www.w3.org/2001/XMLSchema-instance" xsi:type="dcterms:W3CDTF">2026-02-23T14:47:54Z</dcterms:modified>
  <cp:revision>5</cp:revision>
</cp:coreProperties>
</file>