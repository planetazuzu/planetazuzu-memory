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por Mes" sheetId="1" state="visible" r:id="rId1"/>
    <sheet xmlns:r="http://schemas.openxmlformats.org/officeDocument/2006/relationships" name="Detalle Movimientos" sheetId="2" state="visible" r:id="rId2"/>
    <sheet xmlns:r="http://schemas.openxmlformats.org/officeDocument/2006/relationships" name="Gastos Fijos Recurren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€;[Red](#,##0.00 €);-"/>
    <numFmt numFmtId="165" formatCode="#,##0.00 €"/>
  </numFmts>
  <fonts count="6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BDD7EE"/>
      </patternFill>
    </fill>
    <fill>
      <patternFill patternType="solid">
        <fgColor rgb="00FFFFFF"/>
      </patternFill>
    </fill>
    <fill>
      <patternFill patternType="solid">
        <fgColor rgb="00375623"/>
      </patternFill>
    </fill>
    <fill>
      <patternFill patternType="solid">
        <fgColor rgb="00EBF5E1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164" fontId="4" fillId="4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/>
    </xf>
    <xf numFmtId="164" fontId="4" fillId="6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/>
    </xf>
    <xf numFmtId="165" fontId="4" fillId="8" borderId="1" applyAlignment="1" pivotButton="0" quotePrefix="0" xfId="0">
      <alignment horizontal="right" vertical="center"/>
    </xf>
    <xf numFmtId="165" fontId="5" fillId="9" borderId="1" applyAlignment="1" pivotButton="0" quotePrefix="0" xfId="0">
      <alignment horizontal="right" vertical="center"/>
    </xf>
    <xf numFmtId="165" fontId="4" fillId="6" borderId="1" applyAlignment="1" pivotButton="0" quotePrefix="0" xfId="0">
      <alignment horizontal="right" vertical="center"/>
    </xf>
    <xf numFmtId="0" fontId="5" fillId="9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164" fontId="2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4" customWidth="1" min="16" max="16"/>
  </cols>
  <sheetData>
    <row r="1" ht="30" customHeight="1">
      <c r="A1" s="1" t="inlineStr">
        <is>
          <t>RESUMEN DE GASTOS E INGRESOS 2025-2026</t>
        </is>
      </c>
    </row>
    <row r="3" ht="20" customHeight="1">
      <c r="A3" s="2" t="inlineStr">
        <is>
          <t>CATEGORÍA</t>
        </is>
      </c>
      <c r="B3" s="2" t="inlineStr">
        <is>
          <t>Ene 25</t>
        </is>
      </c>
      <c r="C3" s="2" t="inlineStr">
        <is>
          <t>Feb 25</t>
        </is>
      </c>
      <c r="D3" s="2" t="inlineStr">
        <is>
          <t>Mar 25</t>
        </is>
      </c>
      <c r="E3" s="2" t="inlineStr">
        <is>
          <t>Abr 25</t>
        </is>
      </c>
      <c r="F3" s="2" t="inlineStr">
        <is>
          <t>May 25</t>
        </is>
      </c>
      <c r="G3" s="2" t="inlineStr">
        <is>
          <t>Jun 25</t>
        </is>
      </c>
      <c r="H3" s="2" t="inlineStr">
        <is>
          <t>Jul 25</t>
        </is>
      </c>
      <c r="I3" s="2" t="inlineStr">
        <is>
          <t>Ago 25</t>
        </is>
      </c>
      <c r="J3" s="2" t="inlineStr">
        <is>
          <t>Sep 25</t>
        </is>
      </c>
      <c r="K3" s="2" t="inlineStr">
        <is>
          <t>Oct 25</t>
        </is>
      </c>
      <c r="L3" s="2" t="inlineStr">
        <is>
          <t>Nov 25</t>
        </is>
      </c>
      <c r="M3" s="2" t="inlineStr">
        <is>
          <t>Dic 25</t>
        </is>
      </c>
      <c r="N3" s="2" t="inlineStr">
        <is>
          <t>Ene 26</t>
        </is>
      </c>
      <c r="O3" s="2" t="inlineStr">
        <is>
          <t>TOTAL</t>
        </is>
      </c>
    </row>
    <row r="4" ht="18" customHeight="1">
      <c r="A4" s="3" t="inlineStr">
        <is>
          <t>🏦 CUENTA BBK</t>
        </is>
      </c>
    </row>
    <row r="5">
      <c r="A5" s="4" t="inlineStr">
        <is>
          <t>💳 Tarjetas crédito (liquidación)</t>
        </is>
      </c>
      <c r="B5" s="5" t="n">
        <v>-2251.11</v>
      </c>
      <c r="C5" s="5" t="n">
        <v>-1447.46</v>
      </c>
      <c r="D5" s="5" t="n">
        <v>-1588.6</v>
      </c>
      <c r="E5" s="5" t="n">
        <v>-1525.27</v>
      </c>
      <c r="F5" s="5" t="n">
        <v>-1248.3</v>
      </c>
      <c r="G5" s="5" t="n">
        <v>-542.67</v>
      </c>
      <c r="H5" s="5" t="n">
        <v>-1487.5</v>
      </c>
      <c r="I5" s="5" t="n">
        <v>-1487.5</v>
      </c>
      <c r="J5" s="5" t="n">
        <v>-1503.45</v>
      </c>
      <c r="K5" s="5" t="n">
        <v>-1398.73</v>
      </c>
      <c r="L5" s="5" t="n">
        <v>-1277.63</v>
      </c>
      <c r="M5" s="5" t="n">
        <v>-1414.82</v>
      </c>
      <c r="N5" s="5" t="n">
        <v>-1454.6</v>
      </c>
      <c r="P5" s="6">
        <f>SUM(B5:N5)</f>
        <v/>
      </c>
    </row>
    <row r="6">
      <c r="A6" s="7" t="inlineStr">
        <is>
          <t>🏦 Préstamos</t>
        </is>
      </c>
      <c r="B6" s="8" t="n"/>
      <c r="C6" s="8" t="n">
        <v>-708.33</v>
      </c>
      <c r="D6" s="8" t="n">
        <v>-854.78</v>
      </c>
      <c r="E6" s="8" t="n">
        <v>-854.78</v>
      </c>
      <c r="F6" s="8" t="n">
        <v>-854.78</v>
      </c>
      <c r="G6" s="8" t="n">
        <v>-854.78</v>
      </c>
      <c r="H6" s="8" t="n">
        <v>-708.33</v>
      </c>
      <c r="I6" s="8" t="n">
        <v>-712.17</v>
      </c>
      <c r="J6" s="8" t="n">
        <v>-708.33</v>
      </c>
      <c r="K6" s="8" t="n">
        <v>-708.33</v>
      </c>
      <c r="L6" s="8" t="n">
        <v>-708.48</v>
      </c>
      <c r="M6" s="8" t="n">
        <v>-708.33</v>
      </c>
      <c r="N6" s="8" t="n">
        <v>-708.33</v>
      </c>
      <c r="P6" s="6">
        <f>SUM(B6:N6)</f>
        <v/>
      </c>
    </row>
    <row r="7">
      <c r="A7" s="4" t="inlineStr">
        <is>
          <t>🛒 Carrefour Financiación</t>
        </is>
      </c>
      <c r="B7" s="5" t="n">
        <v>-707.55</v>
      </c>
      <c r="C7" s="5" t="n">
        <v>-772.65</v>
      </c>
      <c r="D7" s="5" t="n">
        <v>-772.65</v>
      </c>
      <c r="E7" s="5" t="n">
        <v>-902.91</v>
      </c>
      <c r="F7" s="5" t="n">
        <v>-1252.58</v>
      </c>
      <c r="G7" s="5" t="n">
        <v>-854.04</v>
      </c>
      <c r="H7" s="5" t="n">
        <v>-10</v>
      </c>
      <c r="I7" s="5" t="n"/>
      <c r="J7" s="5" t="n"/>
      <c r="K7" s="5" t="n"/>
      <c r="L7" s="5" t="n"/>
      <c r="M7" s="5" t="n"/>
      <c r="N7" s="5" t="n"/>
      <c r="P7" s="6">
        <f>SUM(B7:N7)</f>
        <v/>
      </c>
    </row>
    <row r="8">
      <c r="A8" s="7" t="inlineStr">
        <is>
          <t>🏦 Cetelem</t>
        </is>
      </c>
      <c r="B8" s="8" t="n"/>
      <c r="C8" s="8" t="n"/>
      <c r="D8" s="8" t="n"/>
      <c r="E8" s="8" t="n">
        <v>-546</v>
      </c>
      <c r="F8" s="8" t="n">
        <v>-547.16</v>
      </c>
      <c r="G8" s="8" t="n">
        <v>-547.16</v>
      </c>
      <c r="H8" s="8" t="n">
        <v>-188.79</v>
      </c>
      <c r="I8" s="8" t="n">
        <v>-742.96</v>
      </c>
      <c r="J8" s="8" t="n">
        <v>-742.96</v>
      </c>
      <c r="K8" s="8" t="n">
        <v>-742.96</v>
      </c>
      <c r="L8" s="8" t="n">
        <v>-742.96</v>
      </c>
      <c r="M8" s="8" t="n">
        <v>-742.96</v>
      </c>
      <c r="N8" s="8" t="n">
        <v>-742.96</v>
      </c>
      <c r="P8" s="6">
        <f>SUM(B8:N8)</f>
        <v/>
      </c>
    </row>
    <row r="9">
      <c r="A9" s="4" t="inlineStr">
        <is>
          <t>🛡️ Seguros (Kutxabank Vida)</t>
        </is>
      </c>
      <c r="B9" s="5" t="n">
        <v>-39.78</v>
      </c>
      <c r="C9" s="5" t="n">
        <v>-34.68</v>
      </c>
      <c r="D9" s="5" t="n">
        <v>-39.64</v>
      </c>
      <c r="E9" s="5" t="n">
        <v>-39.28</v>
      </c>
      <c r="F9" s="5" t="n">
        <v>-39.28</v>
      </c>
      <c r="G9" s="5" t="n">
        <v>-39.09</v>
      </c>
      <c r="H9" s="5" t="n">
        <v>-32.26</v>
      </c>
      <c r="I9" s="5" t="n">
        <v>-32.26</v>
      </c>
      <c r="J9" s="5" t="n">
        <v>-32.11</v>
      </c>
      <c r="K9" s="5" t="n">
        <v>-35.32</v>
      </c>
      <c r="L9" s="5" t="n">
        <v>-35.16</v>
      </c>
      <c r="M9" s="5" t="n">
        <v>-34.99</v>
      </c>
      <c r="N9" s="5" t="n">
        <v>-34.84</v>
      </c>
      <c r="P9" s="6">
        <f>SUM(B9:N9)</f>
        <v/>
      </c>
    </row>
    <row r="10">
      <c r="A10" s="7" t="inlineStr">
        <is>
          <t>🛡️ Seguros (Liberty/Hogar)</t>
        </is>
      </c>
      <c r="B10" s="8" t="n"/>
      <c r="C10" s="8" t="n"/>
      <c r="D10" s="8" t="n"/>
      <c r="E10" s="8" t="n"/>
      <c r="F10" s="8" t="n"/>
      <c r="G10" s="8" t="n"/>
      <c r="H10" s="8" t="n"/>
      <c r="I10" s="8" t="n">
        <v>-204.57</v>
      </c>
      <c r="J10" s="8" t="n">
        <v>-352.73</v>
      </c>
      <c r="K10" s="8" t="n"/>
      <c r="L10" s="8" t="n"/>
      <c r="M10" s="8" t="n"/>
      <c r="N10" s="8" t="n"/>
      <c r="P10" s="6">
        <f>SUM(B10:N10)</f>
        <v/>
      </c>
    </row>
    <row r="11">
      <c r="A11" s="4" t="inlineStr">
        <is>
          <t>🏋️ Gimnasio (Basic-Fit)</t>
        </is>
      </c>
      <c r="B11" s="5" t="n">
        <v>-24.99</v>
      </c>
      <c r="C11" s="5" t="n"/>
      <c r="D11" s="5" t="n">
        <v>-24.99</v>
      </c>
      <c r="E11" s="5" t="n">
        <v>-24.99</v>
      </c>
      <c r="F11" s="5" t="n">
        <v>-24.99</v>
      </c>
      <c r="G11" s="5" t="n">
        <v>-24.99</v>
      </c>
      <c r="H11" s="5" t="n"/>
      <c r="I11" s="5" t="n">
        <v>-34.99</v>
      </c>
      <c r="J11" s="5" t="n">
        <v>-34.99</v>
      </c>
      <c r="K11" s="5" t="n">
        <v>-34.99</v>
      </c>
      <c r="L11" s="5" t="n">
        <v>-34.99</v>
      </c>
      <c r="M11" s="5" t="n">
        <v>-24.99</v>
      </c>
      <c r="N11" s="5" t="n"/>
      <c r="P11" s="6">
        <f>SUM(B11:N11)</f>
        <v/>
      </c>
    </row>
    <row r="12">
      <c r="A12" s="7" t="inlineStr">
        <is>
          <t>💸 Bizum / Traspasos salida</t>
        </is>
      </c>
      <c r="B12" s="8" t="n">
        <v>-465</v>
      </c>
      <c r="C12" s="8" t="n">
        <v>-615</v>
      </c>
      <c r="D12" s="8" t="n">
        <v>-298</v>
      </c>
      <c r="E12" s="8" t="n">
        <v>-315</v>
      </c>
      <c r="F12" s="8" t="n">
        <v>-1983.52</v>
      </c>
      <c r="G12" s="8" t="n">
        <v>-1750</v>
      </c>
      <c r="H12" s="8" t="n">
        <v>-354.9</v>
      </c>
      <c r="I12" s="8" t="n">
        <v>-20</v>
      </c>
      <c r="J12" s="8" t="n">
        <v>-853</v>
      </c>
      <c r="K12" s="8" t="n">
        <v>-1600</v>
      </c>
      <c r="L12" s="8" t="n">
        <v>-114.39</v>
      </c>
      <c r="M12" s="8" t="n">
        <v>-2245</v>
      </c>
      <c r="N12" s="8" t="n">
        <v>-599</v>
      </c>
      <c r="P12" s="6">
        <f>SUM(B12:N12)</f>
        <v/>
      </c>
    </row>
    <row r="13">
      <c r="A13" s="4" t="inlineStr">
        <is>
          <t>🏛️ Ayuntamiento / Embargos</t>
        </is>
      </c>
      <c r="B13" s="5" t="n"/>
      <c r="C13" s="5" t="n"/>
      <c r="D13" s="5" t="n"/>
      <c r="E13" s="5" t="n">
        <v>-29.81</v>
      </c>
      <c r="F13" s="5" t="n"/>
      <c r="G13" s="5" t="n">
        <v>-76.67</v>
      </c>
      <c r="H13" s="5" t="n"/>
      <c r="I13" s="5" t="n"/>
      <c r="J13" s="5" t="n">
        <v>-75.31999999999999</v>
      </c>
      <c r="K13" s="5" t="n"/>
      <c r="L13" s="5" t="n">
        <v>-64.39</v>
      </c>
      <c r="M13" s="5" t="n">
        <v>-76.66</v>
      </c>
      <c r="N13" s="5" t="n"/>
      <c r="P13" s="6">
        <f>SUM(B13:N13)</f>
        <v/>
      </c>
    </row>
    <row r="14">
      <c r="A14" s="7" t="inlineStr">
        <is>
          <t>💳 PayPal / Otros recibos</t>
        </is>
      </c>
      <c r="B14" s="8" t="n">
        <v>-64.56999999999999</v>
      </c>
      <c r="C14" s="8" t="n">
        <v>-47.66</v>
      </c>
      <c r="D14" s="8" t="n">
        <v>-31.66</v>
      </c>
      <c r="E14" s="8" t="n">
        <v>-123.54</v>
      </c>
      <c r="F14" s="8" t="n">
        <v>-9.23</v>
      </c>
      <c r="G14" s="8" t="n">
        <v>-14.08</v>
      </c>
      <c r="H14" s="8" t="n">
        <v>-9.9</v>
      </c>
      <c r="I14" s="8" t="n">
        <v>-9.039999999999999</v>
      </c>
      <c r="J14" s="8" t="n">
        <v>-10.19</v>
      </c>
      <c r="K14" s="8" t="n">
        <v>-7.47</v>
      </c>
      <c r="L14" s="8" t="n">
        <v>-30.05</v>
      </c>
      <c r="M14" s="8" t="n">
        <v>-8.99</v>
      </c>
      <c r="N14" s="8" t="n"/>
      <c r="P14" s="6">
        <f>SUM(B14:N14)</f>
        <v/>
      </c>
    </row>
    <row r="15">
      <c r="A15" s="4" t="inlineStr">
        <is>
          <t>📋 Otros gastos BBK</t>
        </is>
      </c>
      <c r="B15" s="5" t="n">
        <v>-39.46</v>
      </c>
      <c r="C15" s="5" t="n">
        <v>-29.44</v>
      </c>
      <c r="D15" s="5" t="n">
        <v>-28.99</v>
      </c>
      <c r="E15" s="5" t="n">
        <v>-8.99</v>
      </c>
      <c r="F15" s="5" t="n">
        <v>-21.51</v>
      </c>
      <c r="G15" s="5" t="n">
        <v>-10.62</v>
      </c>
      <c r="H15" s="5" t="n"/>
      <c r="I15" s="5" t="n"/>
      <c r="J15" s="5" t="n">
        <v>-8.99</v>
      </c>
      <c r="K15" s="5" t="n">
        <v>-8.99</v>
      </c>
      <c r="L15" s="5" t="n">
        <v>-15.01</v>
      </c>
      <c r="M15" s="5" t="n">
        <v>-8.99</v>
      </c>
      <c r="N15" s="5" t="n">
        <v>-0.02</v>
      </c>
      <c r="P15" s="6">
        <f>SUM(B15:N15)</f>
        <v/>
      </c>
    </row>
    <row r="16">
      <c r="A16" s="9" t="inlineStr">
        <is>
          <t>TOTAL GASTOS BBK</t>
        </is>
      </c>
      <c r="B16" s="6">
        <f>SUM(B5:B15)</f>
        <v/>
      </c>
      <c r="C16" s="6">
        <f>SUM(C5:C15)</f>
        <v/>
      </c>
      <c r="D16" s="6">
        <f>SUM(D5:D15)</f>
        <v/>
      </c>
      <c r="E16" s="6">
        <f>SUM(E5:E15)</f>
        <v/>
      </c>
      <c r="F16" s="6">
        <f>SUM(F5:F15)</f>
        <v/>
      </c>
      <c r="G16" s="6">
        <f>SUM(G5:G15)</f>
        <v/>
      </c>
      <c r="H16" s="6">
        <f>SUM(H5:H15)</f>
        <v/>
      </c>
      <c r="I16" s="6">
        <f>SUM(I5:I15)</f>
        <v/>
      </c>
      <c r="J16" s="6">
        <f>SUM(J5:J15)</f>
        <v/>
      </c>
      <c r="K16" s="6">
        <f>SUM(K5:K15)</f>
        <v/>
      </c>
      <c r="L16" s="6">
        <f>SUM(L5:L15)</f>
        <v/>
      </c>
      <c r="M16" s="6">
        <f>SUM(M5:M15)</f>
        <v/>
      </c>
      <c r="N16" s="6">
        <f>SUM(N5:N15)</f>
        <v/>
      </c>
      <c r="O16" s="6">
        <f>SUM(O5:O15)</f>
        <v/>
      </c>
    </row>
    <row r="18" ht="18" customHeight="1">
      <c r="A18" s="3" t="inlineStr">
        <is>
          <t>💳 VISA DUAL</t>
        </is>
      </c>
    </row>
    <row r="19">
      <c r="A19" s="4" t="inlineStr">
        <is>
          <t>🛒 Supermercados</t>
        </is>
      </c>
      <c r="B19" s="5" t="n"/>
      <c r="C19" s="5" t="n"/>
      <c r="D19" s="5" t="n"/>
      <c r="E19" s="5" t="n"/>
      <c r="F19" s="5" t="n"/>
      <c r="G19" s="5" t="n"/>
      <c r="H19" s="5" t="n">
        <v>-179.58</v>
      </c>
      <c r="I19" s="5" t="n">
        <v>-418.68</v>
      </c>
      <c r="J19" s="5" t="n">
        <v>-240.78</v>
      </c>
      <c r="K19" s="5" t="n">
        <v>-196.17</v>
      </c>
      <c r="L19" s="5" t="n">
        <v>-270.92</v>
      </c>
      <c r="M19" s="5" t="n">
        <v>-200</v>
      </c>
      <c r="N19" s="5" t="n">
        <v>-250</v>
      </c>
      <c r="P19" s="6">
        <f>SUM(B19:N19)</f>
        <v/>
      </c>
    </row>
    <row r="20">
      <c r="A20" s="7" t="inlineStr">
        <is>
          <t>🍽️ Restaurantes / Cafés</t>
        </is>
      </c>
      <c r="B20" s="8" t="n"/>
      <c r="C20" s="8" t="n"/>
      <c r="D20" s="8" t="n"/>
      <c r="E20" s="8" t="n"/>
      <c r="F20" s="8" t="n"/>
      <c r="G20" s="8" t="n"/>
      <c r="H20" s="8" t="n">
        <v>-78.59</v>
      </c>
      <c r="I20" s="8" t="n">
        <v>-48.2</v>
      </c>
      <c r="J20" s="8" t="n">
        <v>-99.56999999999999</v>
      </c>
      <c r="K20" s="8" t="n">
        <v>-17.4</v>
      </c>
      <c r="L20" s="8" t="n">
        <v>-41.7</v>
      </c>
      <c r="M20" s="8" t="n">
        <v>-25.15</v>
      </c>
      <c r="N20" s="8" t="n">
        <v>-65</v>
      </c>
      <c r="P20" s="6">
        <f>SUM(B20:N20)</f>
        <v/>
      </c>
    </row>
    <row r="21">
      <c r="A21" s="4" t="inlineStr">
        <is>
          <t>⛽ Combustible / Transporte</t>
        </is>
      </c>
      <c r="B21" s="5" t="n"/>
      <c r="C21" s="5" t="n"/>
      <c r="D21" s="5" t="n"/>
      <c r="E21" s="5" t="n"/>
      <c r="F21" s="5" t="n"/>
      <c r="G21" s="5" t="n"/>
      <c r="H21" s="5" t="n">
        <v>-15.5</v>
      </c>
      <c r="I21" s="5" t="n">
        <v>-12.89</v>
      </c>
      <c r="J21" s="5" t="n">
        <v>-53.15</v>
      </c>
      <c r="K21" s="5" t="n">
        <v>-20.4</v>
      </c>
      <c r="L21" s="5" t="n">
        <v>-39</v>
      </c>
      <c r="M21" s="5" t="n">
        <v>-6</v>
      </c>
      <c r="N21" s="5" t="n">
        <v>-10</v>
      </c>
      <c r="P21" s="6">
        <f>SUM(B21:N21)</f>
        <v/>
      </c>
    </row>
    <row r="22">
      <c r="A22" s="7" t="inlineStr">
        <is>
          <t>🖥️ Tecnología / Suscripciones</t>
        </is>
      </c>
      <c r="B22" s="8" t="n"/>
      <c r="C22" s="8" t="n"/>
      <c r="D22" s="8" t="n"/>
      <c r="E22" s="8" t="n"/>
      <c r="F22" s="8" t="n"/>
      <c r="G22" s="8" t="n"/>
      <c r="H22" s="8" t="n">
        <v>-106.55</v>
      </c>
      <c r="I22" s="8" t="n">
        <v>-126.16</v>
      </c>
      <c r="J22" s="8" t="n">
        <v>-313.06</v>
      </c>
      <c r="K22" s="8" t="n">
        <v>-89.16</v>
      </c>
      <c r="L22" s="8" t="n">
        <v>-99.77</v>
      </c>
      <c r="M22" s="8" t="n">
        <v>-115</v>
      </c>
      <c r="N22" s="8" t="n">
        <v>-110</v>
      </c>
      <c r="P22" s="6">
        <f>SUM(B22:N22)</f>
        <v/>
      </c>
    </row>
    <row r="23">
      <c r="A23" s="4" t="inlineStr">
        <is>
          <t>🛍️ Ropa / Compras</t>
        </is>
      </c>
      <c r="B23" s="5" t="n"/>
      <c r="C23" s="5" t="n"/>
      <c r="D23" s="5" t="n"/>
      <c r="E23" s="5" t="n"/>
      <c r="F23" s="5" t="n"/>
      <c r="G23" s="5" t="n"/>
      <c r="H23" s="5" t="n">
        <v>-71.25</v>
      </c>
      <c r="I23" s="5" t="n"/>
      <c r="J23" s="5" t="n"/>
      <c r="K23" s="5" t="n"/>
      <c r="L23" s="5" t="n">
        <v>-5.39</v>
      </c>
      <c r="M23" s="5" t="n">
        <v>-13.97</v>
      </c>
      <c r="N23" s="5" t="n">
        <v>-115.57</v>
      </c>
      <c r="P23" s="6">
        <f>SUM(B23:N23)</f>
        <v/>
      </c>
    </row>
    <row r="24">
      <c r="A24" s="7" t="inlineStr">
        <is>
          <t>🏠 Hogar / Bricolaje</t>
        </is>
      </c>
      <c r="B24" s="8" t="n"/>
      <c r="C24" s="8" t="n"/>
      <c r="D24" s="8" t="n"/>
      <c r="E24" s="8" t="n"/>
      <c r="F24" s="8" t="n"/>
      <c r="G24" s="8" t="n"/>
      <c r="H24" s="8" t="n"/>
      <c r="I24" s="8" t="n">
        <v>-12.3</v>
      </c>
      <c r="J24" s="8" t="n">
        <v>-60.19</v>
      </c>
      <c r="K24" s="8" t="n">
        <v>-16.58</v>
      </c>
      <c r="L24" s="8" t="n">
        <v>-36.2</v>
      </c>
      <c r="M24" s="8" t="n">
        <v>-11</v>
      </c>
      <c r="N24" s="8" t="n">
        <v>-17.55</v>
      </c>
      <c r="P24" s="6">
        <f>SUM(B24:N24)</f>
        <v/>
      </c>
    </row>
    <row r="25">
      <c r="A25" s="4" t="inlineStr">
        <is>
          <t>🏥 Salud / Farmacia</t>
        </is>
      </c>
      <c r="B25" s="5" t="n"/>
      <c r="C25" s="5" t="n"/>
      <c r="D25" s="5" t="n"/>
      <c r="E25" s="5" t="n"/>
      <c r="F25" s="5" t="n"/>
      <c r="G25" s="5" t="n"/>
      <c r="H25" s="5" t="n">
        <v>-2.4</v>
      </c>
      <c r="I25" s="5" t="n">
        <v>-5.6</v>
      </c>
      <c r="J25" s="5" t="n">
        <v>-69.2</v>
      </c>
      <c r="K25" s="5" t="n">
        <v>-28.9</v>
      </c>
      <c r="L25" s="5" t="n">
        <v>-13.25</v>
      </c>
      <c r="M25" s="5" t="n"/>
      <c r="N25" s="5" t="n"/>
      <c r="P25" s="6">
        <f>SUM(B25:N25)</f>
        <v/>
      </c>
    </row>
    <row r="26">
      <c r="A26" s="7" t="inlineStr">
        <is>
          <t>🐾 Mascotas</t>
        </is>
      </c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>
        <v>-7</v>
      </c>
      <c r="M26" s="8" t="n"/>
      <c r="N26" s="8" t="n">
        <v>-15</v>
      </c>
      <c r="P26" s="6">
        <f>SUM(B26:N26)</f>
        <v/>
      </c>
    </row>
    <row r="27">
      <c r="A27" s="4" t="inlineStr">
        <is>
          <t>📚 Libros / Cultura</t>
        </is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>
        <v>-18</v>
      </c>
      <c r="K27" s="5" t="n"/>
      <c r="L27" s="5" t="n"/>
      <c r="M27" s="5" t="n"/>
      <c r="N27" s="5" t="n"/>
      <c r="P27" s="6">
        <f>SUM(B27:N27)</f>
        <v/>
      </c>
    </row>
    <row r="28">
      <c r="A28" s="7" t="inlineStr">
        <is>
          <t>🎰 Ocio / Lotería</t>
        </is>
      </c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>
        <v>-20</v>
      </c>
      <c r="M28" s="8" t="n"/>
      <c r="N28" s="8" t="n"/>
      <c r="P28" s="6">
        <f>SUM(B28:N28)</f>
        <v/>
      </c>
    </row>
    <row r="29">
      <c r="A29" s="4" t="inlineStr">
        <is>
          <t>📋 Otros Visa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>
        <v>-27</v>
      </c>
      <c r="L29" s="5" t="n">
        <v>-33.64</v>
      </c>
      <c r="M29" s="5" t="n">
        <v>-9.380000000000001</v>
      </c>
      <c r="N29" s="5" t="n">
        <v>-9.09</v>
      </c>
      <c r="P29" s="6">
        <f>SUM(B29:N29)</f>
        <v/>
      </c>
    </row>
    <row r="30">
      <c r="A30" s="9" t="inlineStr">
        <is>
          <t>TOTAL GASTOS VISA</t>
        </is>
      </c>
      <c r="B30" s="6">
        <f>SUM(B19:B29)</f>
        <v/>
      </c>
      <c r="C30" s="6">
        <f>SUM(C19:C29)</f>
        <v/>
      </c>
      <c r="D30" s="6">
        <f>SUM(D19:D29)</f>
        <v/>
      </c>
      <c r="E30" s="6">
        <f>SUM(E19:E29)</f>
        <v/>
      </c>
      <c r="F30" s="6">
        <f>SUM(F19:F29)</f>
        <v/>
      </c>
      <c r="G30" s="6">
        <f>SUM(G19:G29)</f>
        <v/>
      </c>
      <c r="H30" s="6">
        <f>SUM(H19:H29)</f>
        <v/>
      </c>
      <c r="I30" s="6">
        <f>SUM(I19:I29)</f>
        <v/>
      </c>
      <c r="J30" s="6">
        <f>SUM(J19:J29)</f>
        <v/>
      </c>
      <c r="K30" s="6">
        <f>SUM(K19:K29)</f>
        <v/>
      </c>
      <c r="L30" s="6">
        <f>SUM(L19:L29)</f>
        <v/>
      </c>
      <c r="M30" s="6">
        <f>SUM(M19:M29)</f>
        <v/>
      </c>
      <c r="N30" s="6">
        <f>SUM(N19:N29)</f>
        <v/>
      </c>
      <c r="O30" s="6">
        <f>SUM(O19:O29)</f>
        <v/>
      </c>
    </row>
    <row r="32" ht="18" customHeight="1">
      <c r="A32" s="10" t="inlineStr">
        <is>
          <t>📈 INGRESOS</t>
        </is>
      </c>
    </row>
    <row r="33">
      <c r="A33" s="11" t="inlineStr">
        <is>
          <t>💼 Nómina Soc. Riojana de Cuida</t>
        </is>
      </c>
      <c r="B33" s="12" t="n">
        <v>2472.57</v>
      </c>
      <c r="C33" s="12" t="n">
        <v>2718.19</v>
      </c>
      <c r="D33" s="12" t="n">
        <v>1726.17</v>
      </c>
      <c r="E33" s="12" t="n">
        <v>104.48</v>
      </c>
      <c r="F33" s="12" t="n">
        <v>2138.16</v>
      </c>
      <c r="G33" s="12" t="n">
        <v>4103.67</v>
      </c>
      <c r="H33" s="12" t="n">
        <v>2201.06</v>
      </c>
      <c r="I33" s="12" t="n">
        <v>2616.47</v>
      </c>
      <c r="J33" s="12" t="n">
        <v>2308.07</v>
      </c>
      <c r="K33" s="12" t="n">
        <v>2150.48</v>
      </c>
      <c r="L33" s="12" t="n">
        <v>2058.17</v>
      </c>
      <c r="M33" s="12" t="n">
        <v>4490.719999999999</v>
      </c>
      <c r="N33" s="12" t="n">
        <v>2371.47</v>
      </c>
      <c r="P33" s="13">
        <f>SUM(B33:N33)</f>
        <v/>
      </c>
    </row>
    <row r="34">
      <c r="A34" s="7" t="inlineStr">
        <is>
          <t>📥 OP.NET (ingresos)</t>
        </is>
      </c>
      <c r="B34" s="14" t="n">
        <v>1680</v>
      </c>
      <c r="C34" s="14" t="n">
        <v>650</v>
      </c>
      <c r="D34" s="14" t="n">
        <v>1050</v>
      </c>
      <c r="E34" s="14" t="n">
        <v>1609</v>
      </c>
      <c r="F34" s="14" t="n">
        <v>390</v>
      </c>
      <c r="G34" s="14" t="n">
        <v>1899</v>
      </c>
      <c r="H34" s="14" t="n">
        <v>210</v>
      </c>
      <c r="I34" s="14" t="n">
        <v>210</v>
      </c>
      <c r="J34" s="14" t="n">
        <v>560</v>
      </c>
      <c r="K34" s="14" t="n"/>
      <c r="L34" s="14" t="n">
        <v>670</v>
      </c>
      <c r="M34" s="14" t="n">
        <v>1470</v>
      </c>
      <c r="N34" s="14" t="n">
        <v>1200</v>
      </c>
      <c r="P34" s="13">
        <f>SUM(B34:N34)</f>
        <v/>
      </c>
    </row>
    <row r="35">
      <c r="A35" s="11" t="inlineStr">
        <is>
          <t>💰 Bizum recibidos</t>
        </is>
      </c>
      <c r="B35" s="12" t="n"/>
      <c r="C35" s="12" t="n"/>
      <c r="D35" s="12" t="n"/>
      <c r="E35" s="12" t="n">
        <v>5</v>
      </c>
      <c r="F35" s="12" t="n">
        <v>1000</v>
      </c>
      <c r="G35" s="12" t="n">
        <v>333</v>
      </c>
      <c r="H35" s="12" t="n">
        <v>100</v>
      </c>
      <c r="I35" s="12" t="n"/>
      <c r="J35" s="12" t="n">
        <v>70.55</v>
      </c>
      <c r="K35" s="12" t="n">
        <v>10</v>
      </c>
      <c r="L35" s="12" t="n">
        <v>200</v>
      </c>
      <c r="M35" s="12" t="n">
        <v>5</v>
      </c>
      <c r="N35" s="12" t="n"/>
      <c r="P35" s="13">
        <f>SUM(B35:N35)</f>
        <v/>
      </c>
    </row>
    <row r="36">
      <c r="A36" s="7" t="inlineStr">
        <is>
          <t>💳 Abonos tarjeta (pagos)</t>
        </is>
      </c>
      <c r="B36" s="14" t="n"/>
      <c r="C36" s="14" t="n"/>
      <c r="D36" s="14" t="n"/>
      <c r="E36" s="14" t="n"/>
      <c r="F36" s="14" t="n">
        <v>173.79</v>
      </c>
      <c r="G36" s="14" t="n"/>
      <c r="H36" s="14" t="n"/>
      <c r="I36" s="14" t="n">
        <v>508.82</v>
      </c>
      <c r="J36" s="14" t="n">
        <v>504.63</v>
      </c>
      <c r="K36" s="14" t="n">
        <v>478.25</v>
      </c>
      <c r="L36" s="14" t="n">
        <v>472.93</v>
      </c>
      <c r="M36" s="14" t="n">
        <v>498.3</v>
      </c>
      <c r="N36" s="14" t="n">
        <v>493.82</v>
      </c>
      <c r="P36" s="13">
        <f>SUM(B36:N36)</f>
        <v/>
      </c>
    </row>
    <row r="37">
      <c r="A37" s="15" t="inlineStr">
        <is>
          <t>TOTAL INGRESOS</t>
        </is>
      </c>
      <c r="B37" s="13">
        <f>SUM(B33:B36)</f>
        <v/>
      </c>
      <c r="C37" s="13">
        <f>SUM(C33:C36)</f>
        <v/>
      </c>
      <c r="D37" s="13">
        <f>SUM(D33:D36)</f>
        <v/>
      </c>
      <c r="E37" s="13">
        <f>SUM(E33:E36)</f>
        <v/>
      </c>
      <c r="F37" s="13">
        <f>SUM(F33:F36)</f>
        <v/>
      </c>
      <c r="G37" s="13">
        <f>SUM(G33:G36)</f>
        <v/>
      </c>
      <c r="H37" s="13">
        <f>SUM(H33:H36)</f>
        <v/>
      </c>
      <c r="I37" s="13">
        <f>SUM(I33:I36)</f>
        <v/>
      </c>
      <c r="J37" s="13">
        <f>SUM(J33:J36)</f>
        <v/>
      </c>
      <c r="K37" s="13">
        <f>SUM(K33:K36)</f>
        <v/>
      </c>
      <c r="L37" s="13">
        <f>SUM(L33:L36)</f>
        <v/>
      </c>
      <c r="M37" s="13">
        <f>SUM(M33:M36)</f>
        <v/>
      </c>
      <c r="N37" s="13">
        <f>SUM(N33:N36)</f>
        <v/>
      </c>
      <c r="O37" s="13">
        <f>SUM(O33:O36)</f>
        <v/>
      </c>
    </row>
    <row r="39" ht="22" customHeight="1">
      <c r="A39" s="16" t="inlineStr">
        <is>
          <t>⚖️ BALANCE NETO (Ingresos + Gastos)</t>
        </is>
      </c>
      <c r="B39" s="17">
        <f>B37+B16+B30</f>
        <v/>
      </c>
      <c r="C39" s="17">
        <f>C37+C16+C30</f>
        <v/>
      </c>
      <c r="D39" s="17">
        <f>D37+D16+D30</f>
        <v/>
      </c>
      <c r="E39" s="17">
        <f>E37+E16+E30</f>
        <v/>
      </c>
      <c r="F39" s="17">
        <f>F37+F16+F30</f>
        <v/>
      </c>
      <c r="G39" s="17">
        <f>G37+G16+G30</f>
        <v/>
      </c>
      <c r="H39" s="17">
        <f>H37+H16+H30</f>
        <v/>
      </c>
      <c r="I39" s="17">
        <f>I37+I16+I30</f>
        <v/>
      </c>
      <c r="J39" s="17">
        <f>J37+J16+J30</f>
        <v/>
      </c>
      <c r="K39" s="17">
        <f>K37+K16+K30</f>
        <v/>
      </c>
      <c r="L39" s="17">
        <f>L37+L16+L30</f>
        <v/>
      </c>
      <c r="M39" s="17">
        <f>M37+M16+M30</f>
        <v/>
      </c>
      <c r="N39" s="17">
        <f>N37+N16+N30</f>
        <v/>
      </c>
      <c r="O39" s="17">
        <f>O37+O16+O30</f>
        <v/>
      </c>
    </row>
  </sheetData>
  <mergeCells count="5">
    <mergeCell ref="A3"/>
    <mergeCell ref="A1:O1"/>
    <mergeCell ref="A32:O32"/>
    <mergeCell ref="A18:O18"/>
    <mergeCell ref="A4:O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50" customWidth="1" min="4" max="4"/>
    <col width="14" customWidth="1" min="5" max="5"/>
  </cols>
  <sheetData>
    <row r="1" ht="28" customHeight="1">
      <c r="A1" s="1" t="inlineStr">
        <is>
          <t>DETALLE DE MOVIMIENTOS</t>
        </is>
      </c>
    </row>
    <row r="2">
      <c r="A2" s="2" t="inlineStr">
        <is>
          <t>Fecha</t>
        </is>
      </c>
      <c r="B2" s="2" t="inlineStr">
        <is>
          <t>Cuenta</t>
        </is>
      </c>
      <c r="C2" s="2" t="inlineStr">
        <is>
          <t>Categoría</t>
        </is>
      </c>
      <c r="D2" s="2" t="inlineStr">
        <is>
          <t>Concepto</t>
        </is>
      </c>
      <c r="E2" s="2" t="inlineStr">
        <is>
          <t>Importe (€)</t>
        </is>
      </c>
    </row>
    <row r="3">
      <c r="A3" s="4" t="inlineStr">
        <is>
          <t>ago-25</t>
        </is>
      </c>
      <c r="B3" s="4" t="inlineStr">
        <is>
          <t>Visa Dual</t>
        </is>
      </c>
      <c r="C3" s="4" t="inlineStr">
        <is>
          <t>Supermercados</t>
        </is>
      </c>
      <c r="D3" s="4" t="inlineStr">
        <is>
          <t>ALDI</t>
        </is>
      </c>
      <c r="E3" s="5" t="n">
        <v>-74.34999999999999</v>
      </c>
    </row>
    <row r="4">
      <c r="A4" s="7" t="inlineStr">
        <is>
          <t>ago-25</t>
        </is>
      </c>
      <c r="B4" s="7" t="inlineStr">
        <is>
          <t>Visa Dual</t>
        </is>
      </c>
      <c r="C4" s="7" t="inlineStr">
        <is>
          <t>Supermercados</t>
        </is>
      </c>
      <c r="D4" s="7" t="inlineStr">
        <is>
          <t>Caprabo / LIDL / SA REVI</t>
        </is>
      </c>
      <c r="E4" s="8" t="n">
        <v>-105.23</v>
      </c>
    </row>
    <row r="5">
      <c r="A5" s="4" t="inlineStr">
        <is>
          <t>ago-25</t>
        </is>
      </c>
      <c r="B5" s="4" t="inlineStr">
        <is>
          <t>Visa Dual</t>
        </is>
      </c>
      <c r="C5" s="4" t="inlineStr">
        <is>
          <t>Restaurantes</t>
        </is>
      </c>
      <c r="D5" s="4" t="inlineStr">
        <is>
          <t>Café Glam / McDonald's / Cines 7 / Bar Piqueras</t>
        </is>
      </c>
      <c r="E5" s="5" t="n">
        <v>-78.59</v>
      </c>
    </row>
    <row r="6">
      <c r="A6" s="7" t="inlineStr">
        <is>
          <t>ago-25</t>
        </is>
      </c>
      <c r="B6" s="7" t="inlineStr">
        <is>
          <t>Visa Dual</t>
        </is>
      </c>
      <c r="C6" s="7" t="inlineStr">
        <is>
          <t>Combustible</t>
        </is>
      </c>
      <c r="D6" s="7" t="inlineStr">
        <is>
          <t>Autoroute du Sud / Parking / Estación Servicio</t>
        </is>
      </c>
      <c r="E6" s="8" t="n">
        <v>-15.5</v>
      </c>
    </row>
    <row r="7">
      <c r="A7" s="4" t="inlineStr">
        <is>
          <t>ago-25</t>
        </is>
      </c>
      <c r="B7" s="4" t="inlineStr">
        <is>
          <t>Visa Dual</t>
        </is>
      </c>
      <c r="C7" s="4" t="inlineStr">
        <is>
          <t>Tecnología</t>
        </is>
      </c>
      <c r="D7" s="4" t="inlineStr">
        <is>
          <t>Amazon Prime / ChatGPT / IONOS / Disney+</t>
        </is>
      </c>
      <c r="E7" s="5" t="n">
        <v>-106.55</v>
      </c>
    </row>
    <row r="8">
      <c r="A8" s="7" t="inlineStr">
        <is>
          <t>ago-25</t>
        </is>
      </c>
      <c r="B8" s="7" t="inlineStr">
        <is>
          <t>Visa Dual</t>
        </is>
      </c>
      <c r="C8" s="7" t="inlineStr">
        <is>
          <t>Ropa/Compras</t>
        </is>
      </c>
      <c r="D8" s="7" t="inlineStr">
        <is>
          <t>Next Level / Paco Martínez / Wallapop</t>
        </is>
      </c>
      <c r="E8" s="8" t="n">
        <v>-71.25</v>
      </c>
    </row>
    <row r="9">
      <c r="A9" s="4" t="inlineStr">
        <is>
          <t>ago-25</t>
        </is>
      </c>
      <c r="B9" s="4" t="inlineStr">
        <is>
          <t>Visa Dual</t>
        </is>
      </c>
      <c r="C9" s="4" t="inlineStr">
        <is>
          <t>Salud</t>
        </is>
      </c>
      <c r="D9" s="4" t="inlineStr">
        <is>
          <t>Hospital St. Pedro</t>
        </is>
      </c>
      <c r="E9" s="5" t="n">
        <v>-2.4</v>
      </c>
    </row>
    <row r="10">
      <c r="A10" s="7" t="inlineStr">
        <is>
          <t>sep-25</t>
        </is>
      </c>
      <c r="B10" s="7" t="inlineStr">
        <is>
          <t>Visa Dual</t>
        </is>
      </c>
      <c r="C10" s="7" t="inlineStr">
        <is>
          <t>Supermercados</t>
        </is>
      </c>
      <c r="D10" s="7" t="inlineStr">
        <is>
          <t>Mercadona / Santos Ochoa / Sabeco</t>
        </is>
      </c>
      <c r="E10" s="8" t="n">
        <v>-418.68</v>
      </c>
    </row>
    <row r="11">
      <c r="A11" s="4" t="inlineStr">
        <is>
          <t>sep-25</t>
        </is>
      </c>
      <c r="B11" s="4" t="inlineStr">
        <is>
          <t>Visa Dual</t>
        </is>
      </c>
      <c r="C11" s="4" t="inlineStr">
        <is>
          <t>Restaurantes</t>
        </is>
      </c>
      <c r="D11" s="4" t="inlineStr">
        <is>
          <t>Café Glam / Taberna Urbión / Las Brujas</t>
        </is>
      </c>
      <c r="E11" s="5" t="n">
        <v>-48.2</v>
      </c>
    </row>
    <row r="12">
      <c r="A12" s="7" t="inlineStr">
        <is>
          <t>sep-25</t>
        </is>
      </c>
      <c r="B12" s="7" t="inlineStr">
        <is>
          <t>Visa Dual</t>
        </is>
      </c>
      <c r="C12" s="7" t="inlineStr">
        <is>
          <t>Combustible</t>
        </is>
      </c>
      <c r="D12" s="7" t="inlineStr">
        <is>
          <t>Aparcamientos Espolón / Simply Servillas</t>
        </is>
      </c>
      <c r="E12" s="8" t="n">
        <v>-12.89</v>
      </c>
    </row>
    <row r="13">
      <c r="A13" s="4" t="inlineStr">
        <is>
          <t>sep-25</t>
        </is>
      </c>
      <c r="B13" s="4" t="inlineStr">
        <is>
          <t>Visa Dual</t>
        </is>
      </c>
      <c r="C13" s="4" t="inlineStr">
        <is>
          <t>Tecnología</t>
        </is>
      </c>
      <c r="D13" s="4" t="inlineStr">
        <is>
          <t>Cursor AI / ChatGPT / Amazon / IONOS</t>
        </is>
      </c>
      <c r="E13" s="5" t="n">
        <v>-126.16</v>
      </c>
    </row>
    <row r="14">
      <c r="A14" s="7" t="inlineStr">
        <is>
          <t>sep-25</t>
        </is>
      </c>
      <c r="B14" s="7" t="inlineStr">
        <is>
          <t>Visa Dual</t>
        </is>
      </c>
      <c r="C14" s="7" t="inlineStr">
        <is>
          <t>Salud</t>
        </is>
      </c>
      <c r="D14" s="7" t="inlineStr">
        <is>
          <t>Hospital St. Pedro</t>
        </is>
      </c>
      <c r="E14" s="8" t="n">
        <v>-5.6</v>
      </c>
    </row>
    <row r="15">
      <c r="A15" s="4" t="inlineStr">
        <is>
          <t>sep-25</t>
        </is>
      </c>
      <c r="B15" s="4" t="inlineStr">
        <is>
          <t>Visa Dual</t>
        </is>
      </c>
      <c r="C15" s="4" t="inlineStr">
        <is>
          <t>Hogar</t>
        </is>
      </c>
      <c r="D15" s="4" t="inlineStr">
        <is>
          <t>Multihogar</t>
        </is>
      </c>
      <c r="E15" s="5" t="n">
        <v>-12.3</v>
      </c>
    </row>
    <row r="16">
      <c r="A16" s="7" t="inlineStr">
        <is>
          <t>oct-25</t>
        </is>
      </c>
      <c r="B16" s="7" t="inlineStr">
        <is>
          <t>Visa Dual</t>
        </is>
      </c>
      <c r="C16" s="7" t="inlineStr">
        <is>
          <t>Supermercados</t>
        </is>
      </c>
      <c r="D16" s="7" t="inlineStr">
        <is>
          <t>Mercadona / Carrefour Boroa</t>
        </is>
      </c>
      <c r="E16" s="8" t="n">
        <v>-240.78</v>
      </c>
    </row>
    <row r="17">
      <c r="A17" s="4" t="inlineStr">
        <is>
          <t>oct-25</t>
        </is>
      </c>
      <c r="B17" s="4" t="inlineStr">
        <is>
          <t>Visa Dual</t>
        </is>
      </c>
      <c r="C17" s="4" t="inlineStr">
        <is>
          <t>Restaurantes</t>
        </is>
      </c>
      <c r="D17" s="4" t="inlineStr">
        <is>
          <t>Buga Ramen / KFC / Café Glam</t>
        </is>
      </c>
      <c r="E17" s="5" t="n">
        <v>-99.56999999999999</v>
      </c>
    </row>
    <row r="18">
      <c r="A18" s="7" t="inlineStr">
        <is>
          <t>oct-25</t>
        </is>
      </c>
      <c r="B18" s="7" t="inlineStr">
        <is>
          <t>Visa Dual</t>
        </is>
      </c>
      <c r="C18" s="7" t="inlineStr">
        <is>
          <t>Combustible</t>
        </is>
      </c>
      <c r="D18" s="7" t="inlineStr">
        <is>
          <t>NAFTE / Petronalca / Parking</t>
        </is>
      </c>
      <c r="E18" s="8" t="n">
        <v>-53.15</v>
      </c>
    </row>
    <row r="19">
      <c r="A19" s="4" t="inlineStr">
        <is>
          <t>oct-25</t>
        </is>
      </c>
      <c r="B19" s="4" t="inlineStr">
        <is>
          <t>Visa Dual</t>
        </is>
      </c>
      <c r="C19" s="4" t="inlineStr">
        <is>
          <t>Tecnología</t>
        </is>
      </c>
      <c r="D19" s="4" t="inlineStr">
        <is>
          <t>PayPal ECOPC / ChatGPT / Cursor AI / Amazon / IONOS</t>
        </is>
      </c>
      <c r="E19" s="5" t="n">
        <v>-313.06</v>
      </c>
    </row>
    <row r="20">
      <c r="A20" s="7" t="inlineStr">
        <is>
          <t>oct-25</t>
        </is>
      </c>
      <c r="B20" s="7" t="inlineStr">
        <is>
          <t>Visa Dual</t>
        </is>
      </c>
      <c r="C20" s="7" t="inlineStr">
        <is>
          <t>Salud</t>
        </is>
      </c>
      <c r="D20" s="7" t="inlineStr">
        <is>
          <t>Centro Veterinario Lobete / Farmacia Belén</t>
        </is>
      </c>
      <c r="E20" s="8" t="n">
        <v>-69.2</v>
      </c>
    </row>
    <row r="21">
      <c r="A21" s="4" t="inlineStr">
        <is>
          <t>oct-25</t>
        </is>
      </c>
      <c r="B21" s="4" t="inlineStr">
        <is>
          <t>Visa Dual</t>
        </is>
      </c>
      <c r="C21" s="4" t="inlineStr">
        <is>
          <t>Hogar</t>
        </is>
      </c>
      <c r="D21" s="4" t="inlineStr">
        <is>
          <t>Leroy Merlin / Cerrajería Cenzano</t>
        </is>
      </c>
      <c r="E21" s="5" t="n">
        <v>-60.19</v>
      </c>
    </row>
    <row r="22">
      <c r="A22" s="7" t="inlineStr">
        <is>
          <t>oct-25</t>
        </is>
      </c>
      <c r="B22" s="7" t="inlineStr">
        <is>
          <t>Visa Dual</t>
        </is>
      </c>
      <c r="C22" s="7" t="inlineStr">
        <is>
          <t>Libros</t>
        </is>
      </c>
      <c r="D22" s="7" t="inlineStr">
        <is>
          <t>Buendía Libros</t>
        </is>
      </c>
      <c r="E22" s="8" t="n">
        <v>-18</v>
      </c>
    </row>
    <row r="23">
      <c r="A23" s="4" t="inlineStr">
        <is>
          <t>oct-25</t>
        </is>
      </c>
      <c r="B23" s="4" t="inlineStr">
        <is>
          <t>Visa Dual</t>
        </is>
      </c>
      <c r="C23" s="4" t="inlineStr">
        <is>
          <t>Otros</t>
        </is>
      </c>
      <c r="D23" s="4" t="inlineStr">
        <is>
          <t>EESS Logroño DAC / I Love Dog Wash</t>
        </is>
      </c>
      <c r="E23" s="5" t="n">
        <v>-27</v>
      </c>
    </row>
    <row r="24">
      <c r="A24" s="7" t="inlineStr">
        <is>
          <t>nov-25</t>
        </is>
      </c>
      <c r="B24" s="7" t="inlineStr">
        <is>
          <t>Visa Dual</t>
        </is>
      </c>
      <c r="C24" s="7" t="inlineStr">
        <is>
          <t>Supermercados</t>
        </is>
      </c>
      <c r="D24" s="7" t="inlineStr">
        <is>
          <t>Mercadona / Carrefour Boroa / Sabeco / Hiper</t>
        </is>
      </c>
      <c r="E24" s="8" t="n">
        <v>-270.92</v>
      </c>
    </row>
    <row r="25">
      <c r="A25" s="4" t="inlineStr">
        <is>
          <t>nov-25</t>
        </is>
      </c>
      <c r="B25" s="4" t="inlineStr">
        <is>
          <t>Visa Dual</t>
        </is>
      </c>
      <c r="C25" s="4" t="inlineStr">
        <is>
          <t>Restaurantes</t>
        </is>
      </c>
      <c r="D25" s="4" t="inlineStr">
        <is>
          <t>Café Glam / Cafetería Avenida 55</t>
        </is>
      </c>
      <c r="E25" s="5" t="n">
        <v>-41.7</v>
      </c>
    </row>
    <row r="26">
      <c r="A26" s="7" t="inlineStr">
        <is>
          <t>nov-25</t>
        </is>
      </c>
      <c r="B26" s="7" t="inlineStr">
        <is>
          <t>Visa Dual</t>
        </is>
      </c>
      <c r="C26" s="7" t="inlineStr">
        <is>
          <t>Combustible</t>
        </is>
      </c>
      <c r="D26" s="7" t="inlineStr">
        <is>
          <t>Parking Clubo / Movilidad ACM / Petronalca</t>
        </is>
      </c>
      <c r="E26" s="8" t="n">
        <v>-39</v>
      </c>
    </row>
    <row r="27">
      <c r="A27" s="4" t="inlineStr">
        <is>
          <t>nov-25</t>
        </is>
      </c>
      <c r="B27" s="4" t="inlineStr">
        <is>
          <t>Visa Dual</t>
        </is>
      </c>
      <c r="C27" s="4" t="inlineStr">
        <is>
          <t>Tecnología</t>
        </is>
      </c>
      <c r="D27" s="4" t="inlineStr">
        <is>
          <t>Cursor AI / ChatGPT / IONOS</t>
        </is>
      </c>
      <c r="E27" s="5" t="n">
        <v>-89.16</v>
      </c>
    </row>
    <row r="28">
      <c r="A28" s="7" t="inlineStr">
        <is>
          <t>nov-25</t>
        </is>
      </c>
      <c r="B28" s="7" t="inlineStr">
        <is>
          <t>Visa Dual</t>
        </is>
      </c>
      <c r="C28" s="7" t="inlineStr">
        <is>
          <t>Salud</t>
        </is>
      </c>
      <c r="D28" s="7" t="inlineStr">
        <is>
          <t>Farmacia Belén / Hospital St. Pedro / Donghai Movil</t>
        </is>
      </c>
      <c r="E28" s="8" t="n">
        <v>-28.9</v>
      </c>
    </row>
    <row r="29">
      <c r="A29" s="4" t="inlineStr">
        <is>
          <t>nov-25</t>
        </is>
      </c>
      <c r="B29" s="4" t="inlineStr">
        <is>
          <t>Visa Dual</t>
        </is>
      </c>
      <c r="C29" s="4" t="inlineStr">
        <is>
          <t>Hogar</t>
        </is>
      </c>
      <c r="D29" s="4" t="inlineStr">
        <is>
          <t>Aparcamientos Espolón / Deco Family</t>
        </is>
      </c>
      <c r="E29" s="5" t="n">
        <v>-16.58</v>
      </c>
    </row>
    <row r="30">
      <c r="A30" s="7" t="inlineStr">
        <is>
          <t>nov-25</t>
        </is>
      </c>
      <c r="B30" s="7" t="inlineStr">
        <is>
          <t>Visa Dual</t>
        </is>
      </c>
      <c r="C30" s="7" t="inlineStr">
        <is>
          <t>Mascotas</t>
        </is>
      </c>
      <c r="D30" s="7" t="inlineStr">
        <is>
          <t>I Love Dog Wash</t>
        </is>
      </c>
      <c r="E30" s="8" t="n">
        <v>-7</v>
      </c>
    </row>
    <row r="31">
      <c r="A31" s="4" t="inlineStr">
        <is>
          <t>nov-25</t>
        </is>
      </c>
      <c r="B31" s="4" t="inlineStr">
        <is>
          <t>Visa Dual</t>
        </is>
      </c>
      <c r="C31" s="4" t="inlineStr">
        <is>
          <t>Tecnología</t>
        </is>
      </c>
      <c r="D31" s="4" t="inlineStr">
        <is>
          <t>Primark (ropa)</t>
        </is>
      </c>
      <c r="E31" s="5" t="n">
        <v>-16.5</v>
      </c>
    </row>
    <row r="32">
      <c r="A32" s="7" t="inlineStr">
        <is>
          <t>nov-25</t>
        </is>
      </c>
      <c r="B32" s="7" t="inlineStr">
        <is>
          <t>Visa Dual</t>
        </is>
      </c>
      <c r="C32" s="7" t="inlineStr">
        <is>
          <t>Ocio</t>
        </is>
      </c>
      <c r="D32" s="7" t="inlineStr">
        <is>
          <t>El Búho Lotero</t>
        </is>
      </c>
      <c r="E32" s="8" t="n">
        <v>-20</v>
      </c>
    </row>
    <row r="33">
      <c r="A33" s="4" t="inlineStr">
        <is>
          <t>nov-25</t>
        </is>
      </c>
      <c r="B33" s="4" t="inlineStr">
        <is>
          <t>Visa Dual</t>
        </is>
      </c>
      <c r="C33" s="4" t="inlineStr">
        <is>
          <t>Otros</t>
        </is>
      </c>
      <c r="D33" s="4" t="inlineStr">
        <is>
          <t>PayPal *PMNTSBVEATS</t>
        </is>
      </c>
      <c r="E33" s="5" t="n">
        <v>-33.64</v>
      </c>
    </row>
    <row r="34">
      <c r="A34" s="7" t="inlineStr">
        <is>
          <t>dic-25</t>
        </is>
      </c>
      <c r="B34" s="7" t="inlineStr">
        <is>
          <t>Visa Dual</t>
        </is>
      </c>
      <c r="C34" s="7" t="inlineStr">
        <is>
          <t>Supermercados</t>
        </is>
      </c>
      <c r="D34" s="7" t="inlineStr">
        <is>
          <t>Mercadona / Alcampo / LIDL / Hiper Maximo / Hiper Fénix</t>
        </is>
      </c>
      <c r="E34" s="8" t="n">
        <v>-270.92</v>
      </c>
    </row>
    <row r="35">
      <c r="A35" s="4" t="inlineStr">
        <is>
          <t>dic-25</t>
        </is>
      </c>
      <c r="B35" s="4" t="inlineStr">
        <is>
          <t>Visa Dual</t>
        </is>
      </c>
      <c r="C35" s="4" t="inlineStr">
        <is>
          <t>Restaurantes</t>
        </is>
      </c>
      <c r="D35" s="4" t="inlineStr">
        <is>
          <t>Café Glam / El Pórtico / Burgritos y Pizza / El Angel</t>
        </is>
      </c>
      <c r="E35" s="5" t="n">
        <v>-25.15</v>
      </c>
    </row>
    <row r="36">
      <c r="A36" s="7" t="inlineStr">
        <is>
          <t>dic-25</t>
        </is>
      </c>
      <c r="B36" s="7" t="inlineStr">
        <is>
          <t>Visa Dual</t>
        </is>
      </c>
      <c r="C36" s="7" t="inlineStr">
        <is>
          <t>Combustible</t>
        </is>
      </c>
      <c r="D36" s="7" t="inlineStr">
        <is>
          <t>NAFTE / Parking Clubo / Parking PLA / Plenergy</t>
        </is>
      </c>
      <c r="E36" s="8" t="n">
        <v>-39</v>
      </c>
    </row>
    <row r="37">
      <c r="A37" s="4" t="inlineStr">
        <is>
          <t>dic-25</t>
        </is>
      </c>
      <c r="B37" s="4" t="inlineStr">
        <is>
          <t>Visa Dual</t>
        </is>
      </c>
      <c r="C37" s="4" t="inlineStr">
        <is>
          <t>Tecnología</t>
        </is>
      </c>
      <c r="D37" s="4" t="inlineStr">
        <is>
          <t>Cursor AI / Amazon / IONOS / Disney+ / ChatGPT / Wallapop</t>
        </is>
      </c>
      <c r="E37" s="5" t="n">
        <v>-99.77</v>
      </c>
    </row>
    <row r="38">
      <c r="A38" s="7" t="inlineStr">
        <is>
          <t>dic-25</t>
        </is>
      </c>
      <c r="B38" s="7" t="inlineStr">
        <is>
          <t>Visa Dual</t>
        </is>
      </c>
      <c r="C38" s="7" t="inlineStr">
        <is>
          <t>Hogar</t>
        </is>
      </c>
      <c r="D38" s="7" t="inlineStr">
        <is>
          <t>Leroy Merlin / Brico Depot / Hiper Pluz</t>
        </is>
      </c>
      <c r="E38" s="8" t="n">
        <v>-36.2</v>
      </c>
    </row>
    <row r="39">
      <c r="A39" s="4" t="inlineStr">
        <is>
          <t>dic-25</t>
        </is>
      </c>
      <c r="B39" s="4" t="inlineStr">
        <is>
          <t>Visa Dual</t>
        </is>
      </c>
      <c r="C39" s="4" t="inlineStr">
        <is>
          <t>Ropa</t>
        </is>
      </c>
      <c r="D39" s="4" t="inlineStr">
        <is>
          <t>Fifty Factory</t>
        </is>
      </c>
      <c r="E39" s="5" t="n">
        <v>-5.39</v>
      </c>
    </row>
    <row r="40">
      <c r="A40" s="7" t="inlineStr">
        <is>
          <t>ene-26</t>
        </is>
      </c>
      <c r="B40" s="7" t="inlineStr">
        <is>
          <t>Visa Dual</t>
        </is>
      </c>
      <c r="C40" s="7" t="inlineStr">
        <is>
          <t>Supermercados</t>
        </is>
      </c>
      <c r="D40" s="7" t="inlineStr">
        <is>
          <t>Mercadona / Carrefour Boroa</t>
        </is>
      </c>
      <c r="E40" s="8" t="n">
        <v>-250</v>
      </c>
    </row>
    <row r="41">
      <c r="A41" s="4" t="inlineStr">
        <is>
          <t>ene-26</t>
        </is>
      </c>
      <c r="B41" s="4" t="inlineStr">
        <is>
          <t>Visa Dual</t>
        </is>
      </c>
      <c r="C41" s="4" t="inlineStr">
        <is>
          <t>Restaurantes</t>
        </is>
      </c>
      <c r="D41" s="4" t="inlineStr">
        <is>
          <t>Restaurante Tandoori / Pan Nueva Hornada / Café Glam</t>
        </is>
      </c>
      <c r="E41" s="5" t="n">
        <v>-65</v>
      </c>
    </row>
    <row r="42">
      <c r="A42" s="7" t="inlineStr">
        <is>
          <t>ene-26</t>
        </is>
      </c>
      <c r="B42" s="7" t="inlineStr">
        <is>
          <t>Visa Dual</t>
        </is>
      </c>
      <c r="C42" s="7" t="inlineStr">
        <is>
          <t>Combustible</t>
        </is>
      </c>
      <c r="D42" s="7" t="inlineStr">
        <is>
          <t>Aparcamientos Espolón / Movilidad MMD</t>
        </is>
      </c>
      <c r="E42" s="8" t="n">
        <v>-10</v>
      </c>
    </row>
    <row r="43">
      <c r="A43" s="4" t="inlineStr">
        <is>
          <t>ene-26</t>
        </is>
      </c>
      <c r="B43" s="4" t="inlineStr">
        <is>
          <t>Visa Dual</t>
        </is>
      </c>
      <c r="C43" s="4" t="inlineStr">
        <is>
          <t>Tecnología</t>
        </is>
      </c>
      <c r="D43" s="4" t="inlineStr">
        <is>
          <t>Cursor AI / PayPal AliPay / IONOS / Disney+ / ChatGPT / Mitski</t>
        </is>
      </c>
      <c r="E43" s="5" t="n">
        <v>-110</v>
      </c>
    </row>
    <row r="44">
      <c r="A44" s="7" t="inlineStr">
        <is>
          <t>ene-26</t>
        </is>
      </c>
      <c r="B44" s="7" t="inlineStr">
        <is>
          <t>Visa Dual</t>
        </is>
      </c>
      <c r="C44" s="7" t="inlineStr">
        <is>
          <t>Ropa/Compras</t>
        </is>
      </c>
      <c r="D44" s="7" t="inlineStr">
        <is>
          <t>Berceo CC / Multihogar / Parfois / Primark</t>
        </is>
      </c>
      <c r="E44" s="8" t="n">
        <v>-115.57</v>
      </c>
    </row>
    <row r="45">
      <c r="A45" s="4" t="inlineStr">
        <is>
          <t>ene-26</t>
        </is>
      </c>
      <c r="B45" s="4" t="inlineStr">
        <is>
          <t>Visa Dual</t>
        </is>
      </c>
      <c r="C45" s="4" t="inlineStr">
        <is>
          <t>Mascotas</t>
        </is>
      </c>
      <c r="D45" s="4" t="inlineStr">
        <is>
          <t>I Love Dog Wash</t>
        </is>
      </c>
      <c r="E45" s="5" t="n">
        <v>-15</v>
      </c>
    </row>
    <row r="46">
      <c r="A46" s="7" t="inlineStr">
        <is>
          <t>ene-26</t>
        </is>
      </c>
      <c r="B46" s="7" t="inlineStr">
        <is>
          <t>Visa Dual</t>
        </is>
      </c>
      <c r="C46" s="7" t="inlineStr">
        <is>
          <t>Otros</t>
        </is>
      </c>
      <c r="D46" s="7" t="inlineStr">
        <is>
          <t>Media Yube / Logro.O</t>
        </is>
      </c>
      <c r="E46" s="8" t="n">
        <v>-9.09</v>
      </c>
    </row>
    <row r="47">
      <c r="A47" s="4" t="inlineStr">
        <is>
          <t>feb-25</t>
        </is>
      </c>
      <c r="B47" s="4" t="inlineStr">
        <is>
          <t>BBK</t>
        </is>
      </c>
      <c r="C47" s="4" t="inlineStr">
        <is>
          <t>Tarjetas Crédito</t>
        </is>
      </c>
      <c r="D47" s="4" t="inlineStr">
        <is>
          <t>Liquidación tarjetas Visa</t>
        </is>
      </c>
      <c r="E47" s="5" t="n">
        <v>-1447.46</v>
      </c>
    </row>
    <row r="48">
      <c r="A48" s="7" t="inlineStr">
        <is>
          <t>feb-25</t>
        </is>
      </c>
      <c r="B48" s="7" t="inlineStr">
        <is>
          <t>BBK</t>
        </is>
      </c>
      <c r="C48" s="7" t="inlineStr">
        <is>
          <t>Préstamos</t>
        </is>
      </c>
      <c r="D48" s="7" t="inlineStr">
        <is>
          <t>Cuota préstamo 850922737</t>
        </is>
      </c>
      <c r="E48" s="8" t="n">
        <v>-708.33</v>
      </c>
    </row>
    <row r="49">
      <c r="A49" s="4" t="inlineStr">
        <is>
          <t>feb-25</t>
        </is>
      </c>
      <c r="B49" s="4" t="inlineStr">
        <is>
          <t>BBK</t>
        </is>
      </c>
      <c r="C49" s="4" t="inlineStr">
        <is>
          <t>Carrefour Fin.</t>
        </is>
      </c>
      <c r="D49" s="4" t="inlineStr">
        <is>
          <t>Recibos Carrefour financiación</t>
        </is>
      </c>
      <c r="E49" s="5" t="n">
        <v>-772.65</v>
      </c>
    </row>
    <row r="50">
      <c r="A50" s="7" t="inlineStr">
        <is>
          <t>feb-25</t>
        </is>
      </c>
      <c r="B50" s="7" t="inlineStr">
        <is>
          <t>BBK</t>
        </is>
      </c>
      <c r="C50" s="7" t="inlineStr">
        <is>
          <t>Seguros</t>
        </is>
      </c>
      <c r="D50" s="7" t="inlineStr">
        <is>
          <t>Kutxabank Seg. Vida</t>
        </is>
      </c>
      <c r="E50" s="8" t="n">
        <v>-34.68</v>
      </c>
    </row>
    <row r="51">
      <c r="A51" s="4" t="inlineStr">
        <is>
          <t>feb-25</t>
        </is>
      </c>
      <c r="B51" s="4" t="inlineStr">
        <is>
          <t>BBK</t>
        </is>
      </c>
      <c r="C51" s="4" t="inlineStr">
        <is>
          <t>Bizum/Traspasos</t>
        </is>
      </c>
      <c r="D51" s="4" t="inlineStr">
        <is>
          <t>Bizum enviados / traspasos</t>
        </is>
      </c>
      <c r="E51" s="5" t="n">
        <v>-615</v>
      </c>
    </row>
    <row r="52">
      <c r="A52" s="7" t="inlineStr">
        <is>
          <t>feb-25</t>
        </is>
      </c>
      <c r="B52" s="7" t="inlineStr">
        <is>
          <t>BBK</t>
        </is>
      </c>
      <c r="C52" s="7" t="inlineStr">
        <is>
          <t>Otros</t>
        </is>
      </c>
      <c r="D52" s="7" t="inlineStr">
        <is>
          <t>Recibo UTESLAR / traspasos cuenta</t>
        </is>
      </c>
      <c r="E52" s="8" t="n">
        <v>-29.44</v>
      </c>
    </row>
    <row r="53">
      <c r="A53" s="4" t="inlineStr">
        <is>
          <t>mar-25</t>
        </is>
      </c>
      <c r="B53" s="4" t="inlineStr">
        <is>
          <t>BBK</t>
        </is>
      </c>
      <c r="C53" s="4" t="inlineStr">
        <is>
          <t>Tarjetas Crédito</t>
        </is>
      </c>
      <c r="D53" s="4" t="inlineStr">
        <is>
          <t>Liquidación tarjetas Visa</t>
        </is>
      </c>
      <c r="E53" s="5" t="n">
        <v>-1588.6</v>
      </c>
    </row>
    <row r="54">
      <c r="A54" s="7" t="inlineStr">
        <is>
          <t>mar-25</t>
        </is>
      </c>
      <c r="B54" s="7" t="inlineStr">
        <is>
          <t>BBK</t>
        </is>
      </c>
      <c r="C54" s="7" t="inlineStr">
        <is>
          <t>Préstamos</t>
        </is>
      </c>
      <c r="D54" s="7" t="inlineStr">
        <is>
          <t>Cuota préstamos</t>
        </is>
      </c>
      <c r="E54" s="8" t="n">
        <v>-854.78</v>
      </c>
    </row>
    <row r="55">
      <c r="A55" s="4" t="inlineStr">
        <is>
          <t>mar-25</t>
        </is>
      </c>
      <c r="B55" s="4" t="inlineStr">
        <is>
          <t>BBK</t>
        </is>
      </c>
      <c r="C55" s="4" t="inlineStr">
        <is>
          <t>Carrefour Fin.</t>
        </is>
      </c>
      <c r="D55" s="4" t="inlineStr">
        <is>
          <t>Recibos Carrefour financiación</t>
        </is>
      </c>
      <c r="E55" s="5" t="n">
        <v>-772.65</v>
      </c>
    </row>
    <row r="56">
      <c r="A56" s="7" t="inlineStr">
        <is>
          <t>mar-25</t>
        </is>
      </c>
      <c r="B56" s="7" t="inlineStr">
        <is>
          <t>BBK</t>
        </is>
      </c>
      <c r="C56" s="7" t="inlineStr">
        <is>
          <t>Seguros</t>
        </is>
      </c>
      <c r="D56" s="7" t="inlineStr">
        <is>
          <t>Kutxabank Seg. Vida</t>
        </is>
      </c>
      <c r="E56" s="8" t="n">
        <v>-39.64</v>
      </c>
    </row>
    <row r="57">
      <c r="A57" s="4" t="inlineStr">
        <is>
          <t>mar-25</t>
        </is>
      </c>
      <c r="B57" s="4" t="inlineStr">
        <is>
          <t>BBK</t>
        </is>
      </c>
      <c r="C57" s="4" t="inlineStr">
        <is>
          <t>Bizum/Traspasos</t>
        </is>
      </c>
      <c r="D57" s="4" t="inlineStr">
        <is>
          <t>Bizum enviados / traspasos</t>
        </is>
      </c>
      <c r="E57" s="5" t="n">
        <v>-298</v>
      </c>
    </row>
    <row r="58">
      <c r="A58" s="7" t="inlineStr">
        <is>
          <t>mar-25</t>
        </is>
      </c>
      <c r="B58" s="7" t="inlineStr">
        <is>
          <t>BBK</t>
        </is>
      </c>
      <c r="C58" s="7" t="inlineStr">
        <is>
          <t>Gimnasio</t>
        </is>
      </c>
      <c r="D58" s="7" t="inlineStr">
        <is>
          <t>Basic-Fit Madrid</t>
        </is>
      </c>
      <c r="E58" s="8" t="n">
        <v>-24.99</v>
      </c>
    </row>
    <row r="59">
      <c r="A59" s="4" t="inlineStr">
        <is>
          <t>mar-25</t>
        </is>
      </c>
      <c r="B59" s="4" t="inlineStr">
        <is>
          <t>BBK</t>
        </is>
      </c>
      <c r="C59" s="4" t="inlineStr">
        <is>
          <t>PayPal/Otros</t>
        </is>
      </c>
      <c r="D59" s="4" t="inlineStr">
        <is>
          <t>Recibos PayPal</t>
        </is>
      </c>
      <c r="E59" s="5" t="n">
        <v>-31.66</v>
      </c>
    </row>
    <row r="60">
      <c r="A60" s="7" t="inlineStr">
        <is>
          <t>abr-25</t>
        </is>
      </c>
      <c r="B60" s="7" t="inlineStr">
        <is>
          <t>BBK</t>
        </is>
      </c>
      <c r="C60" s="7" t="inlineStr">
        <is>
          <t>Tarjetas Crédito</t>
        </is>
      </c>
      <c r="D60" s="7" t="inlineStr">
        <is>
          <t>Liquidación tarjetas Visa</t>
        </is>
      </c>
      <c r="E60" s="8" t="n">
        <v>-1525.27</v>
      </c>
    </row>
    <row r="61">
      <c r="A61" s="4" t="inlineStr">
        <is>
          <t>abr-25</t>
        </is>
      </c>
      <c r="B61" s="4" t="inlineStr">
        <is>
          <t>BBK</t>
        </is>
      </c>
      <c r="C61" s="4" t="inlineStr">
        <is>
          <t>Préstamos</t>
        </is>
      </c>
      <c r="D61" s="4" t="inlineStr">
        <is>
          <t>Cuota préstamos</t>
        </is>
      </c>
      <c r="E61" s="5" t="n">
        <v>-854.78</v>
      </c>
    </row>
    <row r="62">
      <c r="A62" s="7" t="inlineStr">
        <is>
          <t>abr-25</t>
        </is>
      </c>
      <c r="B62" s="7" t="inlineStr">
        <is>
          <t>BBK</t>
        </is>
      </c>
      <c r="C62" s="7" t="inlineStr">
        <is>
          <t>Carrefour Fin.</t>
        </is>
      </c>
      <c r="D62" s="7" t="inlineStr">
        <is>
          <t>Recibos Carrefour + Cetelem + Serv.Financieros</t>
        </is>
      </c>
      <c r="E62" s="8" t="n">
        <v>-902.91</v>
      </c>
    </row>
    <row r="63">
      <c r="A63" s="4" t="inlineStr">
        <is>
          <t>abr-25</t>
        </is>
      </c>
      <c r="B63" s="4" t="inlineStr">
        <is>
          <t>BBK</t>
        </is>
      </c>
      <c r="C63" s="4" t="inlineStr">
        <is>
          <t>Seguros</t>
        </is>
      </c>
      <c r="D63" s="4" t="inlineStr">
        <is>
          <t>Kutxabank Seg. Vida + Ayto.</t>
        </is>
      </c>
      <c r="E63" s="5" t="n">
        <v>-39.28</v>
      </c>
    </row>
    <row r="64">
      <c r="A64" s="7" t="inlineStr">
        <is>
          <t>abr-25</t>
        </is>
      </c>
      <c r="B64" s="7" t="inlineStr">
        <is>
          <t>BBK</t>
        </is>
      </c>
      <c r="C64" s="7" t="inlineStr">
        <is>
          <t>Bizum/Traspasos</t>
        </is>
      </c>
      <c r="D64" s="7" t="inlineStr">
        <is>
          <t>Bizum enviados</t>
        </is>
      </c>
      <c r="E64" s="8" t="n">
        <v>-315</v>
      </c>
    </row>
    <row r="65">
      <c r="A65" s="4" t="inlineStr">
        <is>
          <t>abr-25</t>
        </is>
      </c>
      <c r="B65" s="4" t="inlineStr">
        <is>
          <t>BBK</t>
        </is>
      </c>
      <c r="C65" s="4" t="inlineStr">
        <is>
          <t>Ayuntamiento</t>
        </is>
      </c>
      <c r="D65" s="4" t="inlineStr">
        <is>
          <t>Recibos Ayto. Logroño</t>
        </is>
      </c>
      <c r="E65" s="5" t="n">
        <v>-29.81</v>
      </c>
    </row>
    <row r="66">
      <c r="A66" s="7" t="inlineStr">
        <is>
          <t>may-25</t>
        </is>
      </c>
      <c r="B66" s="7" t="inlineStr">
        <is>
          <t>BBK</t>
        </is>
      </c>
      <c r="C66" s="7" t="inlineStr">
        <is>
          <t>Tarjetas Crédito</t>
        </is>
      </c>
      <c r="D66" s="7" t="inlineStr">
        <is>
          <t>Liquidación tarjetas Visa</t>
        </is>
      </c>
      <c r="E66" s="8" t="n">
        <v>-1248.3</v>
      </c>
    </row>
    <row r="67">
      <c r="A67" s="4" t="inlineStr">
        <is>
          <t>may-25</t>
        </is>
      </c>
      <c r="B67" s="4" t="inlineStr">
        <is>
          <t>BBK</t>
        </is>
      </c>
      <c r="C67" s="4" t="inlineStr">
        <is>
          <t>Préstamos</t>
        </is>
      </c>
      <c r="D67" s="4" t="inlineStr">
        <is>
          <t>Cuota préstamos</t>
        </is>
      </c>
      <c r="E67" s="5" t="n">
        <v>-854.78</v>
      </c>
    </row>
    <row r="68">
      <c r="A68" s="7" t="inlineStr">
        <is>
          <t>may-25</t>
        </is>
      </c>
      <c r="B68" s="7" t="inlineStr">
        <is>
          <t>BBK</t>
        </is>
      </c>
      <c r="C68" s="7" t="inlineStr">
        <is>
          <t>Carrefour Fin.</t>
        </is>
      </c>
      <c r="D68" s="7" t="inlineStr">
        <is>
          <t>Recibos Carrefour + Cetelem</t>
        </is>
      </c>
      <c r="E68" s="8" t="n">
        <v>-1252.58</v>
      </c>
    </row>
    <row r="69">
      <c r="A69" s="4" t="inlineStr">
        <is>
          <t>may-25</t>
        </is>
      </c>
      <c r="B69" s="4" t="inlineStr">
        <is>
          <t>BBK</t>
        </is>
      </c>
      <c r="C69" s="4" t="inlineStr">
        <is>
          <t>Seguros</t>
        </is>
      </c>
      <c r="D69" s="4" t="inlineStr">
        <is>
          <t>Kutxabank Seg. Vida</t>
        </is>
      </c>
      <c r="E69" s="5" t="n">
        <v>-39.28</v>
      </c>
    </row>
    <row r="70">
      <c r="A70" s="7" t="inlineStr">
        <is>
          <t>may-25</t>
        </is>
      </c>
      <c r="B70" s="7" t="inlineStr">
        <is>
          <t>BBK</t>
        </is>
      </c>
      <c r="C70" s="7" t="inlineStr">
        <is>
          <t>Bizum/Traspasos</t>
        </is>
      </c>
      <c r="D70" s="7" t="inlineStr">
        <is>
          <t>Bizum + traspasos + OP.NET salida</t>
        </is>
      </c>
      <c r="E70" s="8" t="n">
        <v>-1983.52</v>
      </c>
    </row>
    <row r="71">
      <c r="A71" s="4" t="inlineStr">
        <is>
          <t>may-25</t>
        </is>
      </c>
      <c r="B71" s="4" t="inlineStr">
        <is>
          <t>BBK</t>
        </is>
      </c>
      <c r="C71" s="4" t="inlineStr">
        <is>
          <t>Gimnasio</t>
        </is>
      </c>
      <c r="D71" s="4" t="inlineStr">
        <is>
          <t>Basic-Fit Madrid</t>
        </is>
      </c>
      <c r="E71" s="5" t="n">
        <v>-24.99</v>
      </c>
    </row>
    <row r="72">
      <c r="A72" s="7" t="inlineStr">
        <is>
          <t>jun-25</t>
        </is>
      </c>
      <c r="B72" s="7" t="inlineStr">
        <is>
          <t>BBK</t>
        </is>
      </c>
      <c r="C72" s="7" t="inlineStr">
        <is>
          <t>Tarjetas Crédito</t>
        </is>
      </c>
      <c r="D72" s="7" t="inlineStr">
        <is>
          <t>Liquidación tarjetas Visa</t>
        </is>
      </c>
      <c r="E72" s="8" t="n">
        <v>-542.67</v>
      </c>
    </row>
    <row r="73">
      <c r="A73" s="4" t="inlineStr">
        <is>
          <t>jun-25</t>
        </is>
      </c>
      <c r="B73" s="4" t="inlineStr">
        <is>
          <t>BBK</t>
        </is>
      </c>
      <c r="C73" s="4" t="inlineStr">
        <is>
          <t>Préstamos</t>
        </is>
      </c>
      <c r="D73" s="4" t="inlineStr">
        <is>
          <t>Cuota préstamos</t>
        </is>
      </c>
      <c r="E73" s="5" t="n">
        <v>-854.78</v>
      </c>
    </row>
    <row r="74">
      <c r="A74" s="7" t="inlineStr">
        <is>
          <t>jun-25</t>
        </is>
      </c>
      <c r="B74" s="7" t="inlineStr">
        <is>
          <t>BBK</t>
        </is>
      </c>
      <c r="C74" s="7" t="inlineStr">
        <is>
          <t>Carrefour Fin.</t>
        </is>
      </c>
      <c r="D74" s="7" t="inlineStr">
        <is>
          <t>Recibos Carrefour + Cetelem</t>
        </is>
      </c>
      <c r="E74" s="8" t="n">
        <v>-854.04</v>
      </c>
    </row>
    <row r="75">
      <c r="A75" s="4" t="inlineStr">
        <is>
          <t>jun-25</t>
        </is>
      </c>
      <c r="B75" s="4" t="inlineStr">
        <is>
          <t>BBK</t>
        </is>
      </c>
      <c r="C75" s="4" t="inlineStr">
        <is>
          <t>Seguros</t>
        </is>
      </c>
      <c r="D75" s="4" t="inlineStr">
        <is>
          <t>Kutxabank Seg. Vida</t>
        </is>
      </c>
      <c r="E75" s="5" t="n">
        <v>-39.09</v>
      </c>
    </row>
    <row r="76">
      <c r="A76" s="7" t="inlineStr">
        <is>
          <t>jun-25</t>
        </is>
      </c>
      <c r="B76" s="7" t="inlineStr">
        <is>
          <t>BBK</t>
        </is>
      </c>
      <c r="C76" s="7" t="inlineStr">
        <is>
          <t>Bizum/Traspasos</t>
        </is>
      </c>
      <c r="D76" s="7" t="inlineStr">
        <is>
          <t>Bizum + traspasos</t>
        </is>
      </c>
      <c r="E76" s="8" t="n">
        <v>-1750</v>
      </c>
    </row>
    <row r="77">
      <c r="A77" s="4" t="inlineStr">
        <is>
          <t>jun-25</t>
        </is>
      </c>
      <c r="B77" s="4" t="inlineStr">
        <is>
          <t>BBK</t>
        </is>
      </c>
      <c r="C77" s="4" t="inlineStr">
        <is>
          <t>Ayuntamiento</t>
        </is>
      </c>
      <c r="D77" s="4" t="inlineStr">
        <is>
          <t>Recibo Ayto. Logroño</t>
        </is>
      </c>
      <c r="E77" s="5" t="n">
        <v>-76.67</v>
      </c>
    </row>
    <row r="78">
      <c r="A78" s="7" t="inlineStr">
        <is>
          <t>jun-25</t>
        </is>
      </c>
      <c r="B78" s="7" t="inlineStr">
        <is>
          <t>BBK</t>
        </is>
      </c>
      <c r="C78" s="7" t="inlineStr">
        <is>
          <t>Gimnasio</t>
        </is>
      </c>
      <c r="D78" s="7" t="inlineStr">
        <is>
          <t>Basic-Fit Madrid</t>
        </is>
      </c>
      <c r="E78" s="8" t="n">
        <v>-24.99</v>
      </c>
    </row>
    <row r="79">
      <c r="A79" s="4" t="inlineStr">
        <is>
          <t>ago-25</t>
        </is>
      </c>
      <c r="B79" s="4" t="inlineStr">
        <is>
          <t>BBK</t>
        </is>
      </c>
      <c r="C79" s="4" t="inlineStr">
        <is>
          <t>Tarjetas Crédito</t>
        </is>
      </c>
      <c r="D79" s="4" t="inlineStr">
        <is>
          <t>Liquidación tarjetas Visa</t>
        </is>
      </c>
      <c r="E79" s="5" t="n">
        <v>-1487.5</v>
      </c>
    </row>
    <row r="80">
      <c r="A80" s="7" t="inlineStr">
        <is>
          <t>ago-25</t>
        </is>
      </c>
      <c r="B80" s="7" t="inlineStr">
        <is>
          <t>BBK</t>
        </is>
      </c>
      <c r="C80" s="7" t="inlineStr">
        <is>
          <t>Préstamos</t>
        </is>
      </c>
      <c r="D80" s="7" t="inlineStr">
        <is>
          <t>Cuota préstamos</t>
        </is>
      </c>
      <c r="E80" s="8" t="n">
        <v>-712.17</v>
      </c>
    </row>
    <row r="81">
      <c r="A81" s="4" t="inlineStr">
        <is>
          <t>ago-25</t>
        </is>
      </c>
      <c r="B81" s="4" t="inlineStr">
        <is>
          <t>BBK</t>
        </is>
      </c>
      <c r="C81" s="4" t="inlineStr">
        <is>
          <t>Cetelem</t>
        </is>
      </c>
      <c r="D81" s="4" t="inlineStr">
        <is>
          <t>Recibo Banco Cetelem</t>
        </is>
      </c>
      <c r="E81" s="5" t="n">
        <v>-188.79</v>
      </c>
    </row>
    <row r="82">
      <c r="A82" s="7" t="inlineStr">
        <is>
          <t>ago-25</t>
        </is>
      </c>
      <c r="B82" s="7" t="inlineStr">
        <is>
          <t>BBK</t>
        </is>
      </c>
      <c r="C82" s="7" t="inlineStr">
        <is>
          <t>Seguros</t>
        </is>
      </c>
      <c r="D82" s="7" t="inlineStr">
        <is>
          <t>Kutxabank Seg. Vida + Liberty Seguros</t>
        </is>
      </c>
      <c r="E82" s="8" t="n">
        <v>-236.83</v>
      </c>
    </row>
    <row r="83">
      <c r="A83" s="4" t="inlineStr">
        <is>
          <t>ago-25</t>
        </is>
      </c>
      <c r="B83" s="4" t="inlineStr">
        <is>
          <t>BBK</t>
        </is>
      </c>
      <c r="C83" s="4" t="inlineStr">
        <is>
          <t>Gimnasio</t>
        </is>
      </c>
      <c r="D83" s="4" t="inlineStr">
        <is>
          <t>Basic-Fit Madrid</t>
        </is>
      </c>
      <c r="E83" s="5" t="n">
        <v>-34.99</v>
      </c>
    </row>
    <row r="84">
      <c r="A84" s="7" t="inlineStr">
        <is>
          <t>sep-25</t>
        </is>
      </c>
      <c r="B84" s="7" t="inlineStr">
        <is>
          <t>BBK</t>
        </is>
      </c>
      <c r="C84" s="7" t="inlineStr">
        <is>
          <t>Tarjetas Crédito</t>
        </is>
      </c>
      <c r="D84" s="7" t="inlineStr">
        <is>
          <t>Liquidación tarjetas Visa</t>
        </is>
      </c>
      <c r="E84" s="8" t="n">
        <v>-1503.45</v>
      </c>
    </row>
    <row r="85">
      <c r="A85" s="4" t="inlineStr">
        <is>
          <t>sep-25</t>
        </is>
      </c>
      <c r="B85" s="4" t="inlineStr">
        <is>
          <t>BBK</t>
        </is>
      </c>
      <c r="C85" s="4" t="inlineStr">
        <is>
          <t>Préstamos</t>
        </is>
      </c>
      <c r="D85" s="4" t="inlineStr">
        <is>
          <t>Cuota préstamo</t>
        </is>
      </c>
      <c r="E85" s="5" t="n">
        <v>-708.33</v>
      </c>
    </row>
    <row r="86">
      <c r="A86" s="7" t="inlineStr">
        <is>
          <t>sep-25</t>
        </is>
      </c>
      <c r="B86" s="7" t="inlineStr">
        <is>
          <t>BBK</t>
        </is>
      </c>
      <c r="C86" s="7" t="inlineStr">
        <is>
          <t>Cetelem</t>
        </is>
      </c>
      <c r="D86" s="7" t="inlineStr">
        <is>
          <t>Recibo Banco Cetelem x2</t>
        </is>
      </c>
      <c r="E86" s="8" t="n">
        <v>-742.96</v>
      </c>
    </row>
    <row r="87">
      <c r="A87" s="4" t="inlineStr">
        <is>
          <t>sep-25</t>
        </is>
      </c>
      <c r="B87" s="4" t="inlineStr">
        <is>
          <t>BBK</t>
        </is>
      </c>
      <c r="C87" s="4" t="inlineStr">
        <is>
          <t>Seguros</t>
        </is>
      </c>
      <c r="D87" s="4" t="inlineStr">
        <is>
          <t>Kutxabank Seg. Vida + Hogar</t>
        </is>
      </c>
      <c r="E87" s="5" t="n">
        <v>-384.84</v>
      </c>
    </row>
    <row r="88">
      <c r="A88" s="7" t="inlineStr">
        <is>
          <t>sep-25</t>
        </is>
      </c>
      <c r="B88" s="7" t="inlineStr">
        <is>
          <t>BBK</t>
        </is>
      </c>
      <c r="C88" s="7" t="inlineStr">
        <is>
          <t>Bizum/Traspasos</t>
        </is>
      </c>
      <c r="D88" s="7" t="inlineStr">
        <is>
          <t>Bizum + traspasos múltiples</t>
        </is>
      </c>
      <c r="E88" s="8" t="n">
        <v>-853</v>
      </c>
    </row>
    <row r="89">
      <c r="A89" s="4" t="inlineStr">
        <is>
          <t>sep-25</t>
        </is>
      </c>
      <c r="B89" s="4" t="inlineStr">
        <is>
          <t>BBK</t>
        </is>
      </c>
      <c r="C89" s="4" t="inlineStr">
        <is>
          <t>Ayuntamiento</t>
        </is>
      </c>
      <c r="D89" s="4" t="inlineStr">
        <is>
          <t>Recibo Ayto. Logroño</t>
        </is>
      </c>
      <c r="E89" s="5" t="n">
        <v>-75.31999999999999</v>
      </c>
    </row>
    <row r="90">
      <c r="A90" s="7" t="inlineStr">
        <is>
          <t>sep-25</t>
        </is>
      </c>
      <c r="B90" s="7" t="inlineStr">
        <is>
          <t>BBK</t>
        </is>
      </c>
      <c r="C90" s="7" t="inlineStr">
        <is>
          <t>Gimnasio</t>
        </is>
      </c>
      <c r="D90" s="7" t="inlineStr">
        <is>
          <t>Basic-Fit Madrid</t>
        </is>
      </c>
      <c r="E90" s="8" t="n">
        <v>-34.99</v>
      </c>
    </row>
    <row r="91">
      <c r="A91" s="4" t="inlineStr">
        <is>
          <t>oct-25</t>
        </is>
      </c>
      <c r="B91" s="4" t="inlineStr">
        <is>
          <t>BBK</t>
        </is>
      </c>
      <c r="C91" s="4" t="inlineStr">
        <is>
          <t>Tarjetas Crédito</t>
        </is>
      </c>
      <c r="D91" s="4" t="inlineStr">
        <is>
          <t>Liquidación tarjetas Visa</t>
        </is>
      </c>
      <c r="E91" s="5" t="n">
        <v>-1398.73</v>
      </c>
    </row>
    <row r="92">
      <c r="A92" s="7" t="inlineStr">
        <is>
          <t>oct-25</t>
        </is>
      </c>
      <c r="B92" s="7" t="inlineStr">
        <is>
          <t>BBK</t>
        </is>
      </c>
      <c r="C92" s="7" t="inlineStr">
        <is>
          <t>Préstamos</t>
        </is>
      </c>
      <c r="D92" s="7" t="inlineStr">
        <is>
          <t>Cuota préstamo</t>
        </is>
      </c>
      <c r="E92" s="8" t="n">
        <v>-708.33</v>
      </c>
    </row>
    <row r="93">
      <c r="A93" s="4" t="inlineStr">
        <is>
          <t>oct-25</t>
        </is>
      </c>
      <c r="B93" s="4" t="inlineStr">
        <is>
          <t>BBK</t>
        </is>
      </c>
      <c r="C93" s="4" t="inlineStr">
        <is>
          <t>Cetelem</t>
        </is>
      </c>
      <c r="D93" s="4" t="inlineStr">
        <is>
          <t>Recibo Banco Cetelem x2</t>
        </is>
      </c>
      <c r="E93" s="5" t="n">
        <v>-742.96</v>
      </c>
    </row>
    <row r="94">
      <c r="A94" s="7" t="inlineStr">
        <is>
          <t>oct-25</t>
        </is>
      </c>
      <c r="B94" s="7" t="inlineStr">
        <is>
          <t>BBK</t>
        </is>
      </c>
      <c r="C94" s="7" t="inlineStr">
        <is>
          <t>Seguros</t>
        </is>
      </c>
      <c r="D94" s="7" t="inlineStr">
        <is>
          <t>Kutxabank Seg. Vida</t>
        </is>
      </c>
      <c r="E94" s="8" t="n">
        <v>-35.32</v>
      </c>
    </row>
    <row r="95">
      <c r="A95" s="4" t="inlineStr">
        <is>
          <t>oct-25</t>
        </is>
      </c>
      <c r="B95" s="4" t="inlineStr">
        <is>
          <t>BBK</t>
        </is>
      </c>
      <c r="C95" s="4" t="inlineStr">
        <is>
          <t>Bizum/Traspasos</t>
        </is>
      </c>
      <c r="D95" s="4" t="inlineStr">
        <is>
          <t>Bizum + traspasos + OP.NET</t>
        </is>
      </c>
      <c r="E95" s="5" t="n">
        <v>-1600</v>
      </c>
    </row>
    <row r="96">
      <c r="A96" s="7" t="inlineStr">
        <is>
          <t>oct-25</t>
        </is>
      </c>
      <c r="B96" s="7" t="inlineStr">
        <is>
          <t>BBK</t>
        </is>
      </c>
      <c r="C96" s="7" t="inlineStr">
        <is>
          <t>Gimnasio</t>
        </is>
      </c>
      <c r="D96" s="7" t="inlineStr">
        <is>
          <t>Basic-Fit Madrid</t>
        </is>
      </c>
      <c r="E96" s="8" t="n">
        <v>-34.99</v>
      </c>
    </row>
    <row r="97">
      <c r="A97" s="4" t="inlineStr">
        <is>
          <t>nov-25</t>
        </is>
      </c>
      <c r="B97" s="4" t="inlineStr">
        <is>
          <t>BBK</t>
        </is>
      </c>
      <c r="C97" s="4" t="inlineStr">
        <is>
          <t>Tarjetas Crédito</t>
        </is>
      </c>
      <c r="D97" s="4" t="inlineStr">
        <is>
          <t>Liquidación tarjetas Visa</t>
        </is>
      </c>
      <c r="E97" s="5" t="n">
        <v>-1277.63</v>
      </c>
    </row>
    <row r="98">
      <c r="A98" s="7" t="inlineStr">
        <is>
          <t>nov-25</t>
        </is>
      </c>
      <c r="B98" s="7" t="inlineStr">
        <is>
          <t>BBK</t>
        </is>
      </c>
      <c r="C98" s="7" t="inlineStr">
        <is>
          <t>Préstamos</t>
        </is>
      </c>
      <c r="D98" s="7" t="inlineStr">
        <is>
          <t>Cuota + atrasos préstamo</t>
        </is>
      </c>
      <c r="E98" s="8" t="n">
        <v>-708.48</v>
      </c>
    </row>
    <row r="99">
      <c r="A99" s="4" t="inlineStr">
        <is>
          <t>nov-25</t>
        </is>
      </c>
      <c r="B99" s="4" t="inlineStr">
        <is>
          <t>BBK</t>
        </is>
      </c>
      <c r="C99" s="4" t="inlineStr">
        <is>
          <t>Cetelem</t>
        </is>
      </c>
      <c r="D99" s="4" t="inlineStr">
        <is>
          <t>Recibo Banco Cetelem x2</t>
        </is>
      </c>
      <c r="E99" s="5" t="n">
        <v>-742.96</v>
      </c>
    </row>
    <row r="100">
      <c r="A100" s="7" t="inlineStr">
        <is>
          <t>nov-25</t>
        </is>
      </c>
      <c r="B100" s="7" t="inlineStr">
        <is>
          <t>BBK</t>
        </is>
      </c>
      <c r="C100" s="7" t="inlineStr">
        <is>
          <t>Seguros</t>
        </is>
      </c>
      <c r="D100" s="7" t="inlineStr">
        <is>
          <t>Kutxabank Seg. Vida</t>
        </is>
      </c>
      <c r="E100" s="8" t="n">
        <v>-35.16</v>
      </c>
    </row>
    <row r="101">
      <c r="A101" s="4" t="inlineStr">
        <is>
          <t>nov-25</t>
        </is>
      </c>
      <c r="B101" s="4" t="inlineStr">
        <is>
          <t>BBK</t>
        </is>
      </c>
      <c r="C101" s="4" t="inlineStr">
        <is>
          <t>Bizum/Traspasos</t>
        </is>
      </c>
      <c r="D101" s="4" t="inlineStr">
        <is>
          <t>Bizum enviados</t>
        </is>
      </c>
      <c r="E101" s="5" t="n">
        <v>-114.39</v>
      </c>
    </row>
    <row r="102">
      <c r="A102" s="7" t="inlineStr">
        <is>
          <t>nov-25</t>
        </is>
      </c>
      <c r="B102" s="7" t="inlineStr">
        <is>
          <t>BBK</t>
        </is>
      </c>
      <c r="C102" s="7" t="inlineStr">
        <is>
          <t>Ayuntamiento</t>
        </is>
      </c>
      <c r="D102" s="7" t="inlineStr">
        <is>
          <t>Embargo Logroño</t>
        </is>
      </c>
      <c r="E102" s="8" t="n">
        <v>-64.39</v>
      </c>
    </row>
    <row r="103">
      <c r="A103" s="4" t="inlineStr">
        <is>
          <t>nov-25</t>
        </is>
      </c>
      <c r="B103" s="4" t="inlineStr">
        <is>
          <t>BBK</t>
        </is>
      </c>
      <c r="C103" s="4" t="inlineStr">
        <is>
          <t>Gimnasio</t>
        </is>
      </c>
      <c r="D103" s="4" t="inlineStr">
        <is>
          <t>Basic-Fit Madrid</t>
        </is>
      </c>
      <c r="E103" s="5" t="n">
        <v>-34.99</v>
      </c>
    </row>
    <row r="104">
      <c r="A104" s="7" t="inlineStr">
        <is>
          <t>dic-25</t>
        </is>
      </c>
      <c r="B104" s="7" t="inlineStr">
        <is>
          <t>BBK</t>
        </is>
      </c>
      <c r="C104" s="7" t="inlineStr">
        <is>
          <t>Tarjetas Crédito</t>
        </is>
      </c>
      <c r="D104" s="7" t="inlineStr">
        <is>
          <t>Liquidación tarjetas Visa</t>
        </is>
      </c>
      <c r="E104" s="8" t="n">
        <v>-1414.82</v>
      </c>
    </row>
    <row r="105">
      <c r="A105" s="4" t="inlineStr">
        <is>
          <t>dic-25</t>
        </is>
      </c>
      <c r="B105" s="4" t="inlineStr">
        <is>
          <t>BBK</t>
        </is>
      </c>
      <c r="C105" s="4" t="inlineStr">
        <is>
          <t>Préstamos</t>
        </is>
      </c>
      <c r="D105" s="4" t="inlineStr">
        <is>
          <t>Cuota préstamo</t>
        </is>
      </c>
      <c r="E105" s="5" t="n">
        <v>-708.33</v>
      </c>
    </row>
    <row r="106">
      <c r="A106" s="7" t="inlineStr">
        <is>
          <t>dic-25</t>
        </is>
      </c>
      <c r="B106" s="7" t="inlineStr">
        <is>
          <t>BBK</t>
        </is>
      </c>
      <c r="C106" s="7" t="inlineStr">
        <is>
          <t>Cetelem</t>
        </is>
      </c>
      <c r="D106" s="7" t="inlineStr">
        <is>
          <t>Recibo Banco Cetelem x2</t>
        </is>
      </c>
      <c r="E106" s="8" t="n">
        <v>-742.96</v>
      </c>
    </row>
    <row r="107">
      <c r="A107" s="4" t="inlineStr">
        <is>
          <t>dic-25</t>
        </is>
      </c>
      <c r="B107" s="4" t="inlineStr">
        <is>
          <t>BBK</t>
        </is>
      </c>
      <c r="C107" s="4" t="inlineStr">
        <is>
          <t>Seguros</t>
        </is>
      </c>
      <c r="D107" s="4" t="inlineStr">
        <is>
          <t>Kutxabank Seg. Vida</t>
        </is>
      </c>
      <c r="E107" s="5" t="n">
        <v>-34.99</v>
      </c>
    </row>
    <row r="108">
      <c r="A108" s="7" t="inlineStr">
        <is>
          <t>dic-25</t>
        </is>
      </c>
      <c r="B108" s="7" t="inlineStr">
        <is>
          <t>BBK</t>
        </is>
      </c>
      <c r="C108" s="7" t="inlineStr">
        <is>
          <t>Bizum/Traspasos</t>
        </is>
      </c>
      <c r="D108" s="7" t="inlineStr">
        <is>
          <t>Bizum enviados múltiples (arreglo, etc.)</t>
        </is>
      </c>
      <c r="E108" s="8" t="n">
        <v>-2245</v>
      </c>
    </row>
    <row r="109">
      <c r="A109" s="4" t="inlineStr">
        <is>
          <t>dic-25</t>
        </is>
      </c>
      <c r="B109" s="4" t="inlineStr">
        <is>
          <t>BBK</t>
        </is>
      </c>
      <c r="C109" s="4" t="inlineStr">
        <is>
          <t>Ayuntamiento</t>
        </is>
      </c>
      <c r="D109" s="4" t="inlineStr">
        <is>
          <t>Recibo Ayto. Logroño</t>
        </is>
      </c>
      <c r="E109" s="5" t="n">
        <v>-76.66</v>
      </c>
    </row>
    <row r="110">
      <c r="A110" s="7" t="inlineStr">
        <is>
          <t>dic-25</t>
        </is>
      </c>
      <c r="B110" s="7" t="inlineStr">
        <is>
          <t>BBK</t>
        </is>
      </c>
      <c r="C110" s="7" t="inlineStr">
        <is>
          <t>Gimnasio</t>
        </is>
      </c>
      <c r="D110" s="7" t="inlineStr">
        <is>
          <t>Basic-Fit Madrid</t>
        </is>
      </c>
      <c r="E110" s="8" t="n">
        <v>-24.99</v>
      </c>
    </row>
    <row r="111">
      <c r="A111" s="4" t="inlineStr">
        <is>
          <t>ene-26</t>
        </is>
      </c>
      <c r="B111" s="4" t="inlineStr">
        <is>
          <t>BBK</t>
        </is>
      </c>
      <c r="C111" s="4" t="inlineStr">
        <is>
          <t>Tarjetas Crédito</t>
        </is>
      </c>
      <c r="D111" s="4" t="inlineStr">
        <is>
          <t>Liquidación tarjetas Visa</t>
        </is>
      </c>
      <c r="E111" s="5" t="n">
        <v>-1454.6</v>
      </c>
    </row>
    <row r="112">
      <c r="A112" s="7" t="inlineStr">
        <is>
          <t>ene-26</t>
        </is>
      </c>
      <c r="B112" s="7" t="inlineStr">
        <is>
          <t>BBK</t>
        </is>
      </c>
      <c r="C112" s="7" t="inlineStr">
        <is>
          <t>Préstamos</t>
        </is>
      </c>
      <c r="D112" s="7" t="inlineStr">
        <is>
          <t>Cuota préstamo</t>
        </is>
      </c>
      <c r="E112" s="8" t="n">
        <v>-708.33</v>
      </c>
    </row>
    <row r="113">
      <c r="A113" s="4" t="inlineStr">
        <is>
          <t>ene-26</t>
        </is>
      </c>
      <c r="B113" s="4" t="inlineStr">
        <is>
          <t>BBK</t>
        </is>
      </c>
      <c r="C113" s="4" t="inlineStr">
        <is>
          <t>Cetelem</t>
        </is>
      </c>
      <c r="D113" s="4" t="inlineStr">
        <is>
          <t>Recibo Banco Cetelem x2</t>
        </is>
      </c>
      <c r="E113" s="5" t="n">
        <v>-742.96</v>
      </c>
    </row>
    <row r="114">
      <c r="A114" s="7" t="inlineStr">
        <is>
          <t>ene-26</t>
        </is>
      </c>
      <c r="B114" s="7" t="inlineStr">
        <is>
          <t>BBK</t>
        </is>
      </c>
      <c r="C114" s="7" t="inlineStr">
        <is>
          <t>Seguros</t>
        </is>
      </c>
      <c r="D114" s="7" t="inlineStr">
        <is>
          <t>Kutxabank Seg. Vida</t>
        </is>
      </c>
      <c r="E114" s="8" t="n">
        <v>-34.84</v>
      </c>
    </row>
    <row r="115">
      <c r="A115" s="4" t="inlineStr">
        <is>
          <t>ene-26</t>
        </is>
      </c>
      <c r="B115" s="4" t="inlineStr">
        <is>
          <t>BBK</t>
        </is>
      </c>
      <c r="C115" s="4" t="inlineStr">
        <is>
          <t>Bizum/Traspasos</t>
        </is>
      </c>
      <c r="D115" s="4" t="inlineStr">
        <is>
          <t>Bizum enviados</t>
        </is>
      </c>
      <c r="E115" s="5" t="n">
        <v>-599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18" customWidth="1" min="3" max="3"/>
    <col width="35" customWidth="1" min="4" max="4"/>
  </cols>
  <sheetData>
    <row r="1" ht="28" customHeight="1">
      <c r="A1" s="1" t="inlineStr">
        <is>
          <t>GASTOS FIJOS RECURRENTES MENSUALES</t>
        </is>
      </c>
    </row>
    <row r="2">
      <c r="A2" s="2" t="inlineStr">
        <is>
          <t>Concepto</t>
        </is>
      </c>
      <c r="B2" s="2" t="inlineStr">
        <is>
          <t>Importe aprox. (€)</t>
        </is>
      </c>
      <c r="C2" s="2" t="inlineStr">
        <is>
          <t>Tipo</t>
        </is>
      </c>
      <c r="D2" s="2" t="inlineStr">
        <is>
          <t>Observaciones</t>
        </is>
      </c>
    </row>
    <row r="3">
      <c r="A3" s="4" t="inlineStr">
        <is>
          <t>Cuota préstamo 850922737-1</t>
        </is>
      </c>
      <c r="B3" s="5" t="n">
        <v>-708.33</v>
      </c>
      <c r="C3" s="4" t="inlineStr">
        <is>
          <t>Préstamo</t>
        </is>
      </c>
      <c r="D3" s="4" t="inlineStr">
        <is>
          <t>Mensual, día 7</t>
        </is>
      </c>
    </row>
    <row r="4">
      <c r="A4" s="7" t="inlineStr">
        <is>
          <t>Cuota préstamo 853198848-9</t>
        </is>
      </c>
      <c r="B4" s="8" t="n">
        <v>-146.45</v>
      </c>
      <c r="C4" s="7" t="inlineStr">
        <is>
          <t>Préstamo</t>
        </is>
      </c>
      <c r="D4" s="7" t="inlineStr">
        <is>
          <t>Mensual, día 3</t>
        </is>
      </c>
    </row>
    <row r="5">
      <c r="A5" s="4" t="inlineStr">
        <is>
          <t>Liquidación Visa Dual ...80369</t>
        </is>
      </c>
      <c r="B5" s="5" t="n">
        <v>-490</v>
      </c>
      <c r="C5" s="4" t="inlineStr">
        <is>
          <t>Tarjeta</t>
        </is>
      </c>
      <c r="D5" s="4" t="inlineStr">
        <is>
          <t>Variable, media aprox.</t>
        </is>
      </c>
    </row>
    <row r="6">
      <c r="A6" s="7" t="inlineStr">
        <is>
          <t>Liquidación Visa Dual ...80419</t>
        </is>
      </c>
      <c r="B6" s="8" t="n">
        <v>-900</v>
      </c>
      <c r="C6" s="7" t="inlineStr">
        <is>
          <t>Tarjeta</t>
        </is>
      </c>
      <c r="D6" s="7" t="inlineStr">
        <is>
          <t>Variable, media aprox.</t>
        </is>
      </c>
    </row>
    <row r="7">
      <c r="A7" s="4" t="inlineStr">
        <is>
          <t>Banco Cetelem (recibo 1)</t>
        </is>
      </c>
      <c r="B7" s="5" t="n">
        <v>-497.64</v>
      </c>
      <c r="C7" s="4" t="inlineStr">
        <is>
          <t>Financiación</t>
        </is>
      </c>
      <c r="D7" s="4" t="inlineStr">
        <is>
          <t>Mensual, día 5</t>
        </is>
      </c>
    </row>
    <row r="8">
      <c r="A8" s="7" t="inlineStr">
        <is>
          <t>Banco Cetelem (recibo 2)</t>
        </is>
      </c>
      <c r="B8" s="8" t="n">
        <v>-245.32</v>
      </c>
      <c r="C8" s="7" t="inlineStr">
        <is>
          <t>Financiación</t>
        </is>
      </c>
      <c r="D8" s="7" t="inlineStr">
        <is>
          <t>Mensual, día 5/6</t>
        </is>
      </c>
    </row>
    <row r="9">
      <c r="A9" s="4" t="inlineStr">
        <is>
          <t>Carrefour Financiación (S.Financ)</t>
        </is>
      </c>
      <c r="B9" s="5" t="n">
        <v>-206.5</v>
      </c>
      <c r="C9" s="4" t="inlineStr">
        <is>
          <t>Financiación</t>
        </is>
      </c>
      <c r="D9" s="4" t="inlineStr">
        <is>
          <t>Mensual</t>
        </is>
      </c>
    </row>
    <row r="10">
      <c r="A10" s="7" t="inlineStr">
        <is>
          <t>Carrefour Financiación (Serv.Fin)</t>
        </is>
      </c>
      <c r="B10" s="8" t="n">
        <v>-100.38</v>
      </c>
      <c r="C10" s="7" t="inlineStr">
        <is>
          <t>Financiación</t>
        </is>
      </c>
      <c r="D10" s="7" t="inlineStr">
        <is>
          <t>Mensual</t>
        </is>
      </c>
    </row>
    <row r="11">
      <c r="A11" s="4" t="inlineStr">
        <is>
          <t>Carrefour Financiación (S.F.)</t>
        </is>
      </c>
      <c r="B11" s="5" t="n">
        <v>-49.52</v>
      </c>
      <c r="C11" s="4" t="inlineStr">
        <is>
          <t>Financiación</t>
        </is>
      </c>
      <c r="D11" s="4" t="inlineStr">
        <is>
          <t>Mensual</t>
        </is>
      </c>
    </row>
    <row r="12">
      <c r="A12" s="7" t="inlineStr">
        <is>
          <t>Kutxabank Seg. Vida (1)</t>
        </is>
      </c>
      <c r="B12" s="8" t="n">
        <v>-20</v>
      </c>
      <c r="C12" s="7" t="inlineStr">
        <is>
          <t>Seguro</t>
        </is>
      </c>
      <c r="D12" s="7" t="inlineStr">
        <is>
          <t>Mensual, día 5/6, variable</t>
        </is>
      </c>
    </row>
    <row r="13">
      <c r="A13" s="4" t="inlineStr">
        <is>
          <t>Kutxabank Seg. Vida (2)</t>
        </is>
      </c>
      <c r="B13" s="5" t="n">
        <v>-15</v>
      </c>
      <c r="C13" s="4" t="inlineStr">
        <is>
          <t>Seguro</t>
        </is>
      </c>
      <c r="D13" s="4" t="inlineStr">
        <is>
          <t>Mensual, día 5/6, variable</t>
        </is>
      </c>
    </row>
    <row r="14">
      <c r="A14" s="7" t="inlineStr">
        <is>
          <t>Liberty Seguros Coche</t>
        </is>
      </c>
      <c r="B14" s="8" t="n">
        <v>-204.57</v>
      </c>
      <c r="C14" s="7" t="inlineStr">
        <is>
          <t>Seguro</t>
        </is>
      </c>
      <c r="D14" s="7" t="inlineStr">
        <is>
          <t>Anual/semestral</t>
        </is>
      </c>
    </row>
    <row r="15">
      <c r="A15" s="4" t="inlineStr">
        <is>
          <t>Kutxabank Seg. Hogar</t>
        </is>
      </c>
      <c r="B15" s="5" t="n">
        <v>-352.73</v>
      </c>
      <c r="C15" s="4" t="inlineStr">
        <is>
          <t>Seguro</t>
        </is>
      </c>
      <c r="D15" s="4" t="inlineStr">
        <is>
          <t>Anual</t>
        </is>
      </c>
    </row>
    <row r="16">
      <c r="A16" s="7" t="inlineStr">
        <is>
          <t>Basic-Fit Madrid</t>
        </is>
      </c>
      <c r="B16" s="8" t="n">
        <v>-24.99</v>
      </c>
      <c r="C16" s="7" t="inlineStr">
        <is>
          <t>Gimnasio</t>
        </is>
      </c>
      <c r="D16" s="7" t="inlineStr">
        <is>
          <t>Mensual (a veces -34,99€)</t>
        </is>
      </c>
    </row>
    <row r="17">
      <c r="A17" s="4" t="inlineStr">
        <is>
          <t>ChatGPT (OpenAI)</t>
        </is>
      </c>
      <c r="B17" s="5" t="n">
        <v>-23</v>
      </c>
      <c r="C17" s="4" t="inlineStr">
        <is>
          <t>Suscripción</t>
        </is>
      </c>
      <c r="D17" s="4" t="inlineStr">
        <is>
          <t>Mensual, día 12</t>
        </is>
      </c>
    </row>
    <row r="18">
      <c r="A18" s="7" t="inlineStr">
        <is>
          <t>Cursor AI</t>
        </is>
      </c>
      <c r="B18" s="8" t="n">
        <v>-17.5</v>
      </c>
      <c r="C18" s="7" t="inlineStr">
        <is>
          <t>Suscripción</t>
        </is>
      </c>
      <c r="D18" s="7" t="inlineStr">
        <is>
          <t>Mensual, variable</t>
        </is>
      </c>
    </row>
    <row r="19">
      <c r="A19" s="4" t="inlineStr">
        <is>
          <t>IONOS Cloud</t>
        </is>
      </c>
      <c r="B19" s="5" t="n">
        <v>-6.5</v>
      </c>
      <c r="C19" s="4" t="inlineStr">
        <is>
          <t>Suscripción</t>
        </is>
      </c>
      <c r="D19" s="4" t="inlineStr">
        <is>
          <t>Mensual</t>
        </is>
      </c>
    </row>
    <row r="20">
      <c r="A20" s="7" t="inlineStr">
        <is>
          <t>Disney Plus</t>
        </is>
      </c>
      <c r="B20" s="8" t="n">
        <v>-6.99</v>
      </c>
      <c r="C20" s="7" t="inlineStr">
        <is>
          <t>Suscripción</t>
        </is>
      </c>
      <c r="D20" s="7" t="inlineStr">
        <is>
          <t>Mensual, día 10</t>
        </is>
      </c>
    </row>
    <row r="21">
      <c r="A21" s="4" t="inlineStr">
        <is>
          <t>Traspaso cuenta 911341954</t>
        </is>
      </c>
      <c r="B21" s="5" t="n">
        <v>-8.99</v>
      </c>
      <c r="C21" s="4" t="inlineStr">
        <is>
          <t>Traspaso fijo</t>
        </is>
      </c>
      <c r="D21" s="4" t="inlineStr">
        <is>
          <t>Mensual, día 10</t>
        </is>
      </c>
    </row>
    <row r="22">
      <c r="A22" s="7" t="inlineStr">
        <is>
          <t>UTESLAR (recibo)</t>
        </is>
      </c>
      <c r="B22" s="8" t="n">
        <v>-20</v>
      </c>
      <c r="C22" s="7" t="inlineStr">
        <is>
          <t>Recibo</t>
        </is>
      </c>
      <c r="D22" s="7" t="inlineStr">
        <is>
          <t>Mensual/bimestral</t>
        </is>
      </c>
    </row>
    <row r="23">
      <c r="A23" s="4" t="inlineStr">
        <is>
          <t>Recibo Ayto. Logroño</t>
        </is>
      </c>
      <c r="B23" s="5" t="n">
        <v>-76.67</v>
      </c>
      <c r="C23" s="4" t="inlineStr">
        <is>
          <t>Impuesto</t>
        </is>
      </c>
      <c r="D23" s="4" t="inlineStr">
        <is>
          <t>Trimestral aprox.</t>
        </is>
      </c>
    </row>
    <row r="24">
      <c r="A24" s="9" t="inlineStr">
        <is>
          <t>TOTAL GASTOS FIJOS MENSUALES (aprox.)</t>
        </is>
      </c>
      <c r="B24" s="6">
        <f>SUM(B3:B23)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2026-02-22T16:01:47Z</dcterms:created>
  <dcterms:modified xmlns:dcterms="http://purl.org/dc/terms/" xmlns:xsi="http://www.w3.org/2001/XMLSchema-instance" xsi:type="dcterms:W3CDTF">2026-02-22T16:01:47Z</dcterms:modified>
</cp:coreProperties>
</file>