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Calendario Pagos" sheetId="1" state="visible" r:id="rId3"/>
    <sheet name="💳 Gastos Tarjeta" sheetId="2" state="visible" r:id="rId4"/>
    <sheet name="📊 Resumen Mensual" sheetId="3" state="visible" r:id="rId5"/>
    <sheet name="✅ Tracker Mensual" sheetId="4" state="visible" r:id="rId6"/>
    <sheet name="📧 Google Sheets - Guía" sheetId="5" state="visible" r:id="rId7"/>
    <sheet name="📊 Evolución Deud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<sst xmlns="http://schemas.openxmlformats.org/spreadsheetml/2006/main" count="552" uniqueCount="217">
  <si>
    <t xml:space="preserve">📅 CALENDARIO DE PAGOS MENSUALES - ALERTAS AUTOMÁTICAS</t>
  </si>
  <si>
    <t xml:space="preserve">⚠️ Las celdas en ROJO = pago vencido | NARANJA = vence en 3 días | VERDE = pagado | AMARILLO = próximo</t>
  </si>
  <si>
    <t xml:space="preserve">Concepto</t>
  </si>
  <si>
    <t xml:space="preserve">Día de cobro</t>
  </si>
  <si>
    <t xml:space="preserve">Importe (€)</t>
  </si>
  <si>
    <t xml:space="preserve">Categoría</t>
  </si>
  <si>
    <t xml:space="preserve">Estado</t>
  </si>
  <si>
    <t xml:space="preserve">¿Pagado?</t>
  </si>
  <si>
    <t xml:space="preserve">Fecha pago real</t>
  </si>
  <si>
    <t xml:space="preserve">Observaciones</t>
  </si>
  <si>
    <t xml:space="preserve">Cuota Préstamo 850922737-1</t>
  </si>
  <si>
    <t xml:space="preserve">Préstamo</t>
  </si>
  <si>
    <t xml:space="preserve">FIJO</t>
  </si>
  <si>
    <t xml:space="preserve">NO</t>
  </si>
  <si>
    <t xml:space="preserve">✅ Faltan 12 días</t>
  </si>
  <si>
    <t xml:space="preserve">Cuota Préstamo 853198848-9</t>
  </si>
  <si>
    <t xml:space="preserve">✅ Faltan 8 días</t>
  </si>
  <si>
    <t xml:space="preserve">Liquidación Visa Dual ...80369</t>
  </si>
  <si>
    <t xml:space="preserve">Tarjeta</t>
  </si>
  <si>
    <t xml:space="preserve">VARIABLE</t>
  </si>
  <si>
    <t xml:space="preserve">🟡 Vence en 6 días</t>
  </si>
  <si>
    <t xml:space="preserve">Liquidación Visa Dual ...80419</t>
  </si>
  <si>
    <t xml:space="preserve">Banco Cetelem (recibo 1)</t>
  </si>
  <si>
    <t xml:space="preserve">Financiación</t>
  </si>
  <si>
    <t xml:space="preserve">✅ Faltan 10 días</t>
  </si>
  <si>
    <t xml:space="preserve">Banco Cetelem (recibo 2)</t>
  </si>
  <si>
    <t xml:space="preserve">Kutxabank Seg. Vida (1)</t>
  </si>
  <si>
    <t xml:space="preserve">Seguro</t>
  </si>
  <si>
    <t xml:space="preserve">Kutxabank Seg. Vida (2)</t>
  </si>
  <si>
    <t xml:space="preserve">Basic-Fit Madrid</t>
  </si>
  <si>
    <t xml:space="preserve">Gimnasio</t>
  </si>
  <si>
    <t xml:space="preserve">✅ Faltan 9 días</t>
  </si>
  <si>
    <t xml:space="preserve">ChatGPT / OpenAI</t>
  </si>
  <si>
    <t xml:space="preserve">Suscripción</t>
  </si>
  <si>
    <t xml:space="preserve">✅ Faltan 17 días</t>
  </si>
  <si>
    <t xml:space="preserve">Cursor AI</t>
  </si>
  <si>
    <t xml:space="preserve">IONOS Cloud</t>
  </si>
  <si>
    <t xml:space="preserve">Disney Plus</t>
  </si>
  <si>
    <t xml:space="preserve">✅ Faltan 15 días</t>
  </si>
  <si>
    <t xml:space="preserve">Traspaso cuenta 911341954</t>
  </si>
  <si>
    <t xml:space="preserve">Traspaso</t>
  </si>
  <si>
    <t xml:space="preserve">UTESLAR (recibo)</t>
  </si>
  <si>
    <t xml:space="preserve">Recibo</t>
  </si>
  <si>
    <t xml:space="preserve">MENSUAL</t>
  </si>
  <si>
    <t xml:space="preserve">✅ Faltan 22 días</t>
  </si>
  <si>
    <t xml:space="preserve">Recibo Ayto. Logroño</t>
  </si>
  <si>
    <t xml:space="preserve">Impuesto</t>
  </si>
  <si>
    <t xml:space="preserve">TRIMESTRAL</t>
  </si>
  <si>
    <t xml:space="preserve">Amazon Prime</t>
  </si>
  <si>
    <t xml:space="preserve">TOTAL MENSUAL ESTIMADO</t>
  </si>
  <si>
    <t xml:space="preserve">💳 RESUMEN DE GASTOS — VISA DUAL (Jul 2025 – Ene 2026)</t>
  </si>
  <si>
    <t xml:space="preserve">📊 Desglose por categoría y mes | Solo meses con datos disponibles</t>
  </si>
  <si>
    <t xml:space="preserve">Jul-25</t>
  </si>
  <si>
    <t xml:space="preserve">Ago-25</t>
  </si>
  <si>
    <t xml:space="preserve">Sep-25</t>
  </si>
  <si>
    <t xml:space="preserve">Oct-25</t>
  </si>
  <si>
    <t xml:space="preserve">Nov-25</t>
  </si>
  <si>
    <t xml:space="preserve">Dic-25</t>
  </si>
  <si>
    <t xml:space="preserve">Ene-26</t>
  </si>
  <si>
    <t xml:space="preserve">TOTAL</t>
  </si>
  <si>
    <t xml:space="preserve">% del total</t>
  </si>
  <si>
    <t xml:space="preserve">🛒 Supermercados</t>
  </si>
  <si>
    <t xml:space="preserve">🍽️ Restaurantes / Cafés</t>
  </si>
  <si>
    <t xml:space="preserve">⛽ Combustible / Transporte</t>
  </si>
  <si>
    <t xml:space="preserve">💻 Tecnología / Suscripciones</t>
  </si>
  <si>
    <t xml:space="preserve">👗 Ropa / Compras</t>
  </si>
  <si>
    <t xml:space="preserve">🏠 Hogar / Bricolaje</t>
  </si>
  <si>
    <t xml:space="preserve">💊 Salud / Farmacia</t>
  </si>
  <si>
    <t xml:space="preserve">🐾 Mascotas</t>
  </si>
  <si>
    <t xml:space="preserve">🎭 Ocio / Lotería</t>
  </si>
  <si>
    <t xml:space="preserve">📋 Otros Visa</t>
  </si>
  <si>
    <t xml:space="preserve">💰 TOTAL GASTOS VISA</t>
  </si>
  <si>
    <t xml:space="preserve">100.0%</t>
  </si>
  <si>
    <t xml:space="preserve">🏦 RESUMEN GLOBAL — CUENTA BBK (Ene 2025 – Ene 2026)</t>
  </si>
  <si>
    <t xml:space="preserve">Categoría BBK</t>
  </si>
  <si>
    <t xml:space="preserve">Ene-25</t>
  </si>
  <si>
    <t xml:space="preserve">Feb-25</t>
  </si>
  <si>
    <t xml:space="preserve">Mar-25</t>
  </si>
  <si>
    <t xml:space="preserve">Abr-25</t>
  </si>
  <si>
    <t xml:space="preserve">May-25</t>
  </si>
  <si>
    <t xml:space="preserve">Jun-25</t>
  </si>
  <si>
    <t xml:space="preserve">TOTAL ACUM.</t>
  </si>
  <si>
    <t xml:space="preserve">💳 Tarjetas crédito</t>
  </si>
  <si>
    <t xml:space="preserve">🏦 Préstamos</t>
  </si>
  <si>
    <t xml:space="preserve">🛒 Carrefour Financ.</t>
  </si>
  <si>
    <t xml:space="preserve">🏦 Cetelem</t>
  </si>
  <si>
    <t xml:space="preserve">🛡️ Seguros</t>
  </si>
  <si>
    <t xml:space="preserve">💸 Bizum / Traspasos</t>
  </si>
  <si>
    <t xml:space="preserve">📋 Otros BBK</t>
  </si>
  <si>
    <t xml:space="preserve">💰 TOTAL GASTOS BBK</t>
  </si>
  <si>
    <t xml:space="preserve">📈 INGRESOS (Ene 2025 – Ene 2026)</t>
  </si>
  <si>
    <t xml:space="preserve">Fuente de Ingreso</t>
  </si>
  <si>
    <t xml:space="preserve">💼 Nómina Soc. Riojana</t>
  </si>
  <si>
    <t xml:space="preserve">📥 OP.NET</t>
  </si>
  <si>
    <t xml:space="preserve">💰 Bizum recibidos</t>
  </si>
  <si>
    <t xml:space="preserve">💳 Abonos tarjeta</t>
  </si>
  <si>
    <t xml:space="preserve">💰 TOTAL INGRESOS</t>
  </si>
  <si>
    <t xml:space="preserve">⚖️ BALANCE NETO</t>
  </si>
  <si>
    <t xml:space="preserve">📊 RESUMEN MENSUAL DE GASTOS 2025-2026</t>
  </si>
  <si>
    <t xml:space="preserve">💡 Totales automáticos desde el Tracker | Azul = importe pagado | Rojo = pendiente</t>
  </si>
  <si>
    <t xml:space="preserve">Cuota Mensual (€)</t>
  </si>
  <si>
    <t xml:space="preserve">▸ Préstamos</t>
  </si>
  <si>
    <t xml:space="preserve">   Préstamo 850922737-1</t>
  </si>
  <si>
    <t xml:space="preserve">   Préstamo 853198848-9</t>
  </si>
  <si>
    <t xml:space="preserve">   Hipoteca</t>
  </si>
  <si>
    <t xml:space="preserve">Subtotal Préstamos</t>
  </si>
  <si>
    <t xml:space="preserve">▸ Financiación</t>
  </si>
  <si>
    <t xml:space="preserve">   Cetelem (1)</t>
  </si>
  <si>
    <t xml:space="preserve">   Cetelem (2)</t>
  </si>
  <si>
    <t xml:space="preserve">Subtotal Financiación</t>
  </si>
  <si>
    <t xml:space="preserve">▸ Tarjetas</t>
  </si>
  <si>
    <t xml:space="preserve">   Visa ...80369</t>
  </si>
  <si>
    <t xml:space="preserve">   Visa ...80419</t>
  </si>
  <si>
    <t xml:space="preserve">Subtotal Tarjetas</t>
  </si>
  <si>
    <t xml:space="preserve">▸ Seguros</t>
  </si>
  <si>
    <t xml:space="preserve">   Kutxabank Vida (1)</t>
  </si>
  <si>
    <t xml:space="preserve">   Kutxabank Vida (2)</t>
  </si>
  <si>
    <t xml:space="preserve">Subtotal Seguros</t>
  </si>
  <si>
    <t xml:space="preserve">▸ Suscripciones</t>
  </si>
  <si>
    <t xml:space="preserve">   ChatGPT</t>
  </si>
  <si>
    <t xml:space="preserve">   Cursor AI</t>
  </si>
  <si>
    <t xml:space="preserve">   IONOS Cloud</t>
  </si>
  <si>
    <t xml:space="preserve">   Disney+</t>
  </si>
  <si>
    <t xml:space="preserve">   Amazon Prime</t>
  </si>
  <si>
    <t xml:space="preserve">Subtotal Suscripciones</t>
  </si>
  <si>
    <t xml:space="preserve">▸ Otros</t>
  </si>
  <si>
    <t xml:space="preserve">   Basic-Fit</t>
  </si>
  <si>
    <t xml:space="preserve">   Traspaso 911341954</t>
  </si>
  <si>
    <t xml:space="preserve">   UTESLAR</t>
  </si>
  <si>
    <t xml:space="preserve">   Ayto. Logroño</t>
  </si>
  <si>
    <t xml:space="preserve">Subtotal Otros</t>
  </si>
  <si>
    <t xml:space="preserve">💰 TOTAL MENSUAL ESTIMADO</t>
  </si>
  <si>
    <t xml:space="preserve">✅ TRACKER DE PAGOS 2025-2026 — Marca SI/NO cada mes</t>
  </si>
  <si>
    <t xml:space="preserve">🟢 SI = Pagado  |  🔴 NO = Pendiente  |  ⚠️ ? = A verificar</t>
  </si>
  <si>
    <t xml:space="preserve">Importe</t>
  </si>
  <si>
    <t xml:space="preserve">Préstamo 850922737-1</t>
  </si>
  <si>
    <t xml:space="preserve">SI</t>
  </si>
  <si>
    <t xml:space="preserve">Préstamo 853198848-9</t>
  </si>
  <si>
    <t xml:space="preserve">Visa ...80369</t>
  </si>
  <si>
    <t xml:space="preserve">Visa ...80419</t>
  </si>
  <si>
    <t xml:space="preserve">Cetelem (1)</t>
  </si>
  <si>
    <t xml:space="preserve">Cetelem (2)</t>
  </si>
  <si>
    <t xml:space="preserve">Kutxabank Vida (1)</t>
  </si>
  <si>
    <t xml:space="preserve">Kutxabank Vida (2)</t>
  </si>
  <si>
    <t xml:space="preserve">Basic-Fit</t>
  </si>
  <si>
    <t xml:space="preserve">ChatGPT</t>
  </si>
  <si>
    <t xml:space="preserve">Disney+</t>
  </si>
  <si>
    <t xml:space="preserve">Traspaso 911341954</t>
  </si>
  <si>
    <t xml:space="preserve">UTESLAR</t>
  </si>
  <si>
    <t xml:space="preserve">Ayto. Logroño</t>
  </si>
  <si>
    <t xml:space="preserve">Hipoteca</t>
  </si>
  <si>
    <t xml:space="preserve">?</t>
  </si>
  <si>
    <t xml:space="preserve">TOTAL MENSUAL</t>
  </si>
  <si>
    <t xml:space="preserve">📧 CÓMO CONFIGURAR AVISOS AUTOMÁTICOS EN GOOGLE SHEETS</t>
  </si>
  <si>
    <t xml:space="preserve">Sigue estos pasos para recibir avisos automáticos por email de tus pagos próximos:</t>
  </si>
  <si>
    <t xml:space="preserve">PASO 1</t>
  </si>
  <si>
    <t xml:space="preserve">Subir este Excel a Google Drive</t>
  </si>
  <si>
    <t xml:space="preserve">Ve a drive.google.com → Nuevo → Subir archivo → selecciona este Excel → Abre con Google Sheets</t>
  </si>
  <si>
    <t xml:space="preserve">PASO 2</t>
  </si>
  <si>
    <t xml:space="preserve">Acceder a Apps Script</t>
  </si>
  <si>
    <t xml:space="preserve">En Google Sheets: Extensiones → Apps Script → Se abre el editor de código</t>
  </si>
  <si>
    <t xml:space="preserve">PASO 3</t>
  </si>
  <si>
    <t xml:space="preserve">Pegar el script de avisos</t>
  </si>
  <si>
    <t xml:space="preserve">Borra el contenido y pega el script que aparece más abajo en esta hoja</t>
  </si>
  <si>
    <t xml:space="preserve">PASO 4</t>
  </si>
  <si>
    <t xml:space="preserve">Configurar tu email</t>
  </si>
  <si>
    <t xml:space="preserve">Cambia 'TU_EMAIL@gmail.com' en el script por tu email real</t>
  </si>
  <si>
    <t xml:space="preserve">PASO 5</t>
  </si>
  <si>
    <t xml:space="preserve">Crear un activador automático</t>
  </si>
  <si>
    <t xml:space="preserve">En Apps Script: Reloj (⏰) → Añadir activador → Función: enviarAvisos → Evento: Temporizador → Cada día (por la mañana)</t>
  </si>
  <si>
    <t xml:space="preserve">PASO 6</t>
  </si>
  <si>
    <t xml:space="preserve">Autorizar permisos</t>
  </si>
  <si>
    <t xml:space="preserve">La primera vez Google te pedirá permisos para enviar email. Acepta con tu cuenta de Google</t>
  </si>
  <si>
    <t xml:space="preserve">PASO 7</t>
  </si>
  <si>
    <t xml:space="preserve">Probar el script</t>
  </si>
  <si>
    <t xml:space="preserve">Pulsa ▶️ Ejecutar sobre la función 'enviarAvisos' para recibir un email de prueba inmediatamente</t>
  </si>
  <si>
    <t xml:space="preserve">📋 SCRIPT PARA GOOGLE APPS SCRIPT (copia y pega esto):</t>
  </si>
  <si>
    <t xml:space="preserve">function enviarAvisos() {</t>
  </si>
  <si>
    <t xml:space="preserve">  var email = 'TU_EMAIL@gmail.com'; // ← CAMBIA ESTO</t>
  </si>
  <si>
    <t xml:space="preserve">  var hoy = new Date();</t>
  </si>
  <si>
    <t xml:space="preserve">  var diaHoy = hoy.getDate();</t>
  </si>
  <si>
    <t xml:space="preserve">  var sheet = SpreadsheetApp.getActiveSpreadsheet()</t>
  </si>
  <si>
    <t xml:space="preserve">             .getSheetByName('📅 Calendario Pagos');</t>
  </si>
  <si>
    <t xml:space="preserve">  var datos = sheet.getRange('A4:H23').getValues();</t>
  </si>
  <si>
    <t xml:space="preserve">  var proximosPagos = [];</t>
  </si>
  <si>
    <t xml:space="preserve">  var urgentes = [];</t>
  </si>
  <si>
    <t xml:space="preserve">  datos.forEach(function(fila) {</t>
  </si>
  <si>
    <t xml:space="preserve">    if (!fila[0]) return;</t>
  </si>
  <si>
    <t xml:space="preserve">    var concepto = fila[0];</t>
  </si>
  <si>
    <t xml:space="preserve">    var diaCobro = parseInt(fila[1]);</t>
  </si>
  <si>
    <t xml:space="preserve">    var importe = fila[2];</t>
  </si>
  <si>
    <t xml:space="preserve">    var diasHasta = diaCobro - diaHoy;</t>
  </si>
  <si>
    <t xml:space="preserve">    if (diasHasta &lt; 0) return; // ya pasó</t>
  </si>
  <si>
    <t xml:space="preserve">    if (diasHasta &lt;= 1) {</t>
  </si>
  <si>
    <t xml:space="preserve">      urgentes.push('🔴 HOY/MAÑANA: ' + concepto + ' → ' + importe + '€');</t>
  </si>
  <si>
    <t xml:space="preserve">    } else if (diasHasta &lt;= 5) {</t>
  </si>
  <si>
    <t xml:space="preserve">      proximosPagos.push('🟡 En ' + diasHasta + ' días: ' + concepto + ' → ' + importe + '€');</t>
  </si>
  <si>
    <t xml:space="preserve">    }</t>
  </si>
  <si>
    <t xml:space="preserve">  });</t>
  </si>
  <si>
    <t xml:space="preserve">  if (urgentes.length === 0 &amp;&amp; proximosPagos.length === 0) return;</t>
  </si>
  <si>
    <t xml:space="preserve">  var asunto = '💳 Aviso de pagos próximos - ' + hoy.toLocaleDateString('es-ES');</t>
  </si>
  <si>
    <t xml:space="preserve">  var cuerpo = '=== PAGOS URGENTES ===\n';</t>
  </si>
  <si>
    <t xml:space="preserve">  cuerpo += urgentes.join('\n') || 'Ninguno hoy';</t>
  </si>
  <si>
    <t xml:space="preserve">  cuerpo += '\n\n=== PRÓXIMOS 5 DÍAS ===\n';</t>
  </si>
  <si>
    <t xml:space="preserve">  cuerpo += proximosPagos.join('\n') || 'Ninguno';</t>
  </si>
  <si>
    <t xml:space="preserve">  cuerpo += '\n\nRevisa tu Google Sheet para más detalles.';</t>
  </si>
  <si>
    <t xml:space="preserve">  MailApp.sendEmail(email, asunto, cuerpo);</t>
  </si>
  <si>
    <t xml:space="preserve">}</t>
  </si>
  <si>
    <t xml:space="preserve">📊 EVOLUCIÓN DE DEUDAS — Préstamos Personales e Hipoteca</t>
  </si>
  <si>
    <t xml:space="preserve">💡 Introduce los saldos pendientes cada mes para ver la evolución. Azul = dato entrada | Negro = fórmula</t>
  </si>
  <si>
    <t xml:space="preserve">⚙️ DATOS DE LOS PRÉSTAMOS</t>
  </si>
  <si>
    <t xml:space="preserve">Producto</t>
  </si>
  <si>
    <t xml:space="preserve">Saldo Inicial (€)</t>
  </si>
  <si>
    <t xml:space="preserve">Tipo Interés (%)</t>
  </si>
  <si>
    <t xml:space="preserve">📅 EVOLUCIÓN MENSUAL — Saldo Pendiente por Producto</t>
  </si>
  <si>
    <t xml:space="preserve">Feb-26</t>
  </si>
  <si>
    <t xml:space="preserve">TOTAL DEUDA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</si>
</sst>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;[RED]\(#,##0.00&quot; €)&quot;;\-"/>
    <numFmt numFmtId="166" formatCode="dd/mm/yyyy"/>
    <numFmt numFmtId="167" formatCode="#,##0.00&quot; €&quot;"/>
    <numFmt numFmtId="168" formatCode="0.0%"/>
    <numFmt numFmtId="169" formatCode="#,##0.00&quot; €&quot;"/>
    <numFmt numFmtId="170" formatCode="0.00%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FF0066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00B0F0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sz val="10"/>
      <color rgb="FF276221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sz val="10"/>
      <color rgb="FF1E5631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1F3864"/>
      <name val="Courier New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D7E4F0"/>
        <bgColor rgb="FFDDEEFF"/>
      </patternFill>
    </fill>
    <fill>
      <patternFill patternType="solid">
        <fgColor rgb="FFFFF2CC"/>
        <bgColor rgb="FFFDEBD0"/>
      </patternFill>
    </fill>
    <fill>
      <patternFill patternType="solid">
        <fgColor rgb="FFFFFFFF"/>
        <bgColor rgb="FFF9F9F9"/>
      </patternFill>
    </fill>
    <fill>
      <patternFill patternType="solid">
        <fgColor rgb="FF1F3864"/>
        <bgColor rgb="FF1F4E79"/>
      </patternFill>
    </fill>
    <fill>
      <patternFill patternType="solid">
        <fgColor rgb="FFEBF3FB"/>
        <bgColor rgb="FFF0F4FF"/>
      </patternFill>
    </fill>
    <fill>
      <patternFill patternType="solid">
        <fgColor rgb="FF2E76B5"/>
        <bgColor rgb="FF406B9D"/>
      </patternFill>
    </fill>
    <fill>
      <patternFill patternType="solid">
        <fgColor rgb="FFDDEEFF"/>
        <bgColor rgb="FFE5F7FF"/>
      </patternFill>
    </fill>
    <fill>
      <patternFill patternType="solid">
        <fgColor rgb="FFFFF0E5"/>
        <bgColor rgb="FFFFF9E5"/>
      </patternFill>
    </fill>
    <fill>
      <patternFill patternType="solid">
        <fgColor rgb="FFEBF7E0"/>
        <bgColor rgb="FFF0FFF0"/>
      </patternFill>
    </fill>
    <fill>
      <patternFill patternType="solid">
        <fgColor rgb="FFF0E5FF"/>
        <bgColor rgb="FFFFE5F0"/>
      </patternFill>
    </fill>
    <fill>
      <patternFill patternType="solid">
        <fgColor rgb="FFFFE5F0"/>
        <bgColor rgb="FFFFF0E5"/>
      </patternFill>
    </fill>
    <fill>
      <patternFill patternType="solid">
        <fgColor rgb="FFF9F9F9"/>
        <bgColor rgb="FFF5F9FF"/>
      </patternFill>
    </fill>
    <fill>
      <patternFill patternType="solid">
        <fgColor rgb="FFFDEBD0"/>
        <bgColor rgb="FFFFF2CC"/>
      </patternFill>
    </fill>
    <fill>
      <patternFill patternType="solid">
        <fgColor rgb="FFE5F7FF"/>
        <bgColor rgb="FFEBF3FB"/>
      </patternFill>
    </fill>
    <fill>
      <patternFill patternType="solid">
        <fgColor rgb="FFFFF9E5"/>
        <bgColor rgb="FFFFF0E5"/>
      </patternFill>
    </fill>
    <fill>
      <patternFill patternType="solid">
        <fgColor rgb="FFF5F5F5"/>
        <bgColor rgb="FFF9F9F9"/>
      </patternFill>
    </fill>
    <fill>
      <patternFill patternType="solid">
        <fgColor rgb="FF1E5631"/>
        <bgColor rgb="FF276221"/>
      </patternFill>
    </fill>
    <fill>
      <patternFill patternType="solid">
        <fgColor rgb="FF375623"/>
        <bgColor rgb="FF276221"/>
      </patternFill>
    </fill>
    <fill>
      <patternFill patternType="solid">
        <fgColor rgb="FFC6EFCE"/>
        <bgColor rgb="FFD9F7BE"/>
      </patternFill>
    </fill>
    <fill>
      <patternFill patternType="solid">
        <fgColor rgb="FFD9F7BE"/>
        <bgColor rgb="FFC6EFCE"/>
      </patternFill>
    </fill>
    <fill>
      <patternFill patternType="solid">
        <fgColor rgb="FFF0FFF0"/>
        <bgColor rgb="FFF5F9FF"/>
      </patternFill>
    </fill>
    <fill>
      <patternFill patternType="solid">
        <fgColor rgb="FF4A4A4A"/>
        <bgColor rgb="FF444444"/>
      </patternFill>
    </fill>
    <fill>
      <patternFill patternType="solid">
        <fgColor rgb="FFF5F9FF"/>
        <bgColor rgb="FFF2F8FF"/>
      </patternFill>
    </fill>
    <fill>
      <patternFill patternType="mediumGray">
        <fgColor rgb="FF24AADB"/>
        <bgColor rgb="FF8DAED1"/>
      </patternFill>
    </fill>
    <fill>
      <patternFill patternType="solid">
        <fgColor rgb="FF7BAB4B"/>
        <bgColor rgb="FF838383"/>
      </patternFill>
    </fill>
    <fill>
      <patternFill patternType="solid">
        <fgColor rgb="FFF08134"/>
        <bgColor rgb="FFC56619"/>
      </patternFill>
    </fill>
    <fill>
      <patternFill patternType="solid">
        <fgColor rgb="FF7030A0"/>
        <bgColor rgb="FF5E536B"/>
      </patternFill>
    </fill>
    <fill>
      <patternFill patternType="solid">
        <fgColor rgb="FFFFC9C3"/>
        <bgColor rgb="FFFFE5F0"/>
      </patternFill>
    </fill>
    <fill>
      <patternFill patternType="solid">
        <fgColor rgb="FFF0F4FF"/>
        <bgColor rgb="FFEBF3FB"/>
      </patternFill>
    </fill>
    <fill>
      <patternFill patternType="solid">
        <fgColor rgb="FFF2F8FF"/>
        <bgColor rgb="FFF5F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3BFC0"/>
      </left>
      <right style="thin">
        <color rgb="FFC3BFC0"/>
      </right>
      <top style="thin">
        <color rgb="FFC3BFC0"/>
      </top>
      <bottom style="thin">
        <color rgb="FFC3BFC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6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8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2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3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3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3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3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F0F4FF"/>
      <rgbColor rgb="FF0000FF"/>
      <rgbColor rgb="FFFDEBD0"/>
      <rgbColor rgb="FFFF0066"/>
      <rgbColor rgb="FFEBF3FB"/>
      <rgbColor rgb="FF9C0006"/>
      <rgbColor rgb="FF276221"/>
      <rgbColor rgb="FFF5F9FF"/>
      <rgbColor rgb="FF7F6000"/>
      <rgbColor rgb="FF5E536B"/>
      <rgbColor rgb="FF4F7EB8"/>
      <rgbColor rgb="FFC3BFC0"/>
      <rgbColor rgb="FF838383"/>
      <rgbColor rgb="FF8DAED1"/>
      <rgbColor rgb="FFAC4742"/>
      <rgbColor rgb="FFFFF9E5"/>
      <rgbColor rgb="FFE5F7FF"/>
      <rgbColor rgb="FF4A4A4A"/>
      <rgbColor rgb="FFF08134"/>
      <rgbColor rgb="FF406B9D"/>
      <rgbColor rgb="FFD7E4F0"/>
      <rgbColor rgb="FFF9F9F9"/>
      <rgbColor rgb="FFFFF0E5"/>
      <rgbColor rgb="FFEBF7E0"/>
      <rgbColor rgb="FFF0FFF0"/>
      <rgbColor rgb="FFF5F5F5"/>
      <rgbColor rgb="FFC00000"/>
      <rgbColor rgb="FF555555"/>
      <rgbColor rgb="FFF2F8FF"/>
      <rgbColor rgb="FFF0E5FF"/>
      <rgbColor rgb="FFDDEEFF"/>
      <rgbColor rgb="FFD9F7BE"/>
      <rgbColor rgb="FFFFF2CC"/>
      <rgbColor rgb="FFB0D0E0"/>
      <rgbColor rgb="FFFFE5F0"/>
      <rgbColor rgb="FFC1D39F"/>
      <rgbColor rgb="FFFFC9C3"/>
      <rgbColor rgb="FF2E76B5"/>
      <rgbColor rgb="FF24AADB"/>
      <rgbColor rgb="FF7BAB4B"/>
      <rgbColor rgb="FFFFC000"/>
      <rgbColor rgb="FFC6EFCE"/>
      <rgbColor rgb="FFC56619"/>
      <rgbColor rgb="FF785F99"/>
      <rgbColor rgb="FFB5949E"/>
      <rgbColor rgb="FF1F3864"/>
      <rgbColor rgb="FF2E7D32"/>
      <rgbColor rgb="FF1E5631"/>
      <rgbColor rgb="FF375623"/>
      <rgbColor rgb="FF833C00"/>
      <rgbColor rgb="FF7030A0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Visa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'💳 Gastos Tarjeta'!I4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ab4744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8aa64f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725990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299b0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dc853e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93a9ce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d09493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b8cd97"/>
              </a:solidFill>
              <a:ln w="0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a99bbd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'💳 Gastos Tarjeta'!$A$5:$A$14</c:f>
              <c:strCache>
                <c:ptCount val="10"/>
                <c:pt idx="0">
                  <c:v>🛒 Supermercados</c:v>
                </c:pt>
                <c:pt idx="1">
                  <c:v>🍽️ Restaurantes / Cafés</c:v>
                </c:pt>
                <c:pt idx="2">
                  <c:v>⛽ Combustible / Transporte</c:v>
                </c:pt>
                <c:pt idx="3">
                  <c:v>💻 Tecnología / Suscripciones</c:v>
                </c:pt>
                <c:pt idx="4">
                  <c:v>👗 Ropa / Compras</c:v>
                </c:pt>
                <c:pt idx="5">
                  <c:v>🏠 Hogar / Bricolaje</c:v>
                </c:pt>
                <c:pt idx="6">
                  <c:v>💊 Salud / Farmacia</c:v>
                </c:pt>
                <c:pt idx="7">
                  <c:v>🐾 Mascotas</c:v>
                </c:pt>
                <c:pt idx="8">
                  <c:v>🎭 Ocio / Lotería</c:v>
                </c:pt>
                <c:pt idx="9">
                  <c:v>📋 Otros Visa</c:v>
                </c:pt>
              </c:strCache>
            </c:strRef>
          </c:cat>
          <c:val>
            <c:numRef>
              <c:f>'💳 Gastos Tarjeta'!$I$5:$I$14</c:f>
              <c:numCache>
                <c:formatCode>#,##0.00" €"</c:formatCode>
                <c:ptCount val="10"/>
                <c:pt idx="0">
                  <c:v>-1756.13</c:v>
                </c:pt>
                <c:pt idx="1">
                  <c:v>-375.61</c:v>
                </c:pt>
                <c:pt idx="2">
                  <c:v>-156.94</c:v>
                </c:pt>
                <c:pt idx="3">
                  <c:v>-959.7</c:v>
                </c:pt>
                <c:pt idx="4">
                  <c:v>-206.18</c:v>
                </c:pt>
                <c:pt idx="5">
                  <c:v>-153.82</c:v>
                </c:pt>
                <c:pt idx="6">
                  <c:v>-119.35</c:v>
                </c:pt>
                <c:pt idx="7">
                  <c:v>-22</c:v>
                </c:pt>
                <c:pt idx="8">
                  <c:v>-20</c:v>
                </c:pt>
                <c:pt idx="9">
                  <c:v>-79.11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Total Deuda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"Deuda Total"</c:f>
              <c:strCache>
                <c:ptCount val="1"/>
                <c:pt idx="0">
                  <c:v>Deuda Total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Deudas'!$B$24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1"/>
          <c:order val="1"/>
          <c:spPr>
            <a:solidFill>
              <a:srgbClr val="9d3e3b"/>
            </a:solidFill>
            <a:ln w="2844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Deudas'!$C$24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2"/>
          <c:order val="2"/>
          <c:spPr>
            <a:solidFill>
              <a:srgbClr val="7e9945"/>
            </a:solidFill>
            <a:ln w="2844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Deudas'!$D$24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3"/>
          <c:order val="3"/>
          <c:spPr>
            <a:solidFill>
              <a:srgbClr val="674f84"/>
            </a:solidFill>
            <a:ln w="2844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Deudas'!$E$24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4"/>
          <c:order val="4"/>
          <c:spPr>
            <a:solidFill>
              <a:srgbClr val="398ba2"/>
            </a:solidFill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Deudas'!$F$24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5"/>
          <c:order val="5"/>
          <c:spPr>
            <a:solidFill>
              <a:srgbClr val="cb7934"/>
            </a:solidFill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Deudas'!$G$24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6"/>
          <c:order val="6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Deudas'!$H$24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7"/>
          <c:order val="7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Deudas'!$I$24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8"/>
          <c:order val="8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Deudas'!$J$24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9"/>
          <c:order val="9"/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Deudas'!$K$24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10"/>
          <c:order val="10"/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Deudas'!$L$24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11"/>
          <c:order val="11"/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Deudas'!$M$24</c:f>
              <c:numCache>
                <c:formatCode>General</c:formatCode>
                <c:ptCount val="1"/>
              </c:numCache>
            </c:numRef>
          </c:val>
          <c:smooth val="1"/>
        </c:ser>
        <c:ser>
          <c:idx val="12"/>
          <c:order val="12"/>
          <c:spPr>
            <a:solidFill>
              <a:srgbClr val="a5b5d3"/>
            </a:solidFill>
            <a:ln w="28440">
              <a:solidFill>
                <a:srgbClr val="a5b5d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Deudas'!$N$24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188198"/>
        <c:axId val="77833819"/>
      </c:lineChart>
      <c:catAx>
        <c:axId val="161881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33819"/>
        <c:crosses val="autoZero"/>
        <c:auto val="1"/>
        <c:lblAlgn val="ctr"/>
        <c:lblOffset val="100"/>
        <c:noMultiLvlLbl val="0"/>
      </c:catAx>
      <c:valAx>
        <c:axId val="77833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Saldo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881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Deuda por Producto (Apilada)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"Préstamo 850922737-1"</c:f>
              <c:strCache>
                <c:ptCount val="1"/>
                <c:pt idx="0">
                  <c:v>Préstamo 850922737-1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Deudas'!$B$16</c:f>
              <c:numCache>
                <c:formatCode>#,##0.00" €"</c:formatCode>
                <c:ptCount val="1"/>
                <c:pt idx="0">
                  <c:v>5642.36</c:v>
                </c:pt>
              </c:numCache>
            </c:numRef>
          </c:val>
        </c:ser>
        <c:ser>
          <c:idx val="1"/>
          <c:order val="1"/>
          <c:tx>
            <c:strRef>
              <c:f>"Préstamo 853198848-9"</c:f>
              <c:strCache>
                <c:ptCount val="1"/>
                <c:pt idx="0">
                  <c:v>Préstamo 853198848-9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Deudas'!$C$16</c:f>
              <c:numCache>
                <c:formatCode>#,##0.00" €"</c:formatCode>
                <c:ptCount val="1"/>
                <c:pt idx="0">
                  <c:v>5397.04</c:v>
                </c:pt>
              </c:numCache>
            </c:numRef>
          </c:val>
        </c:ser>
        <c:ser>
          <c:idx val="2"/>
          <c:order val="2"/>
          <c:tx>
            <c:strRef>
              <c:f>"Cetelem (1)"</c:f>
              <c:strCache>
                <c:ptCount val="1"/>
                <c:pt idx="0">
                  <c:v>Cetelem (1)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Deudas'!$D$16</c:f>
              <c:numCache>
                <c:formatCode>#,##0.00" €"</c:formatCode>
                <c:ptCount val="1"/>
                <c:pt idx="0">
                  <c:v>5151.72</c:v>
                </c:pt>
              </c:numCache>
            </c:numRef>
          </c:val>
        </c:ser>
        <c:ser>
          <c:idx val="3"/>
          <c:order val="3"/>
          <c:tx>
            <c:strRef>
              <c:f>"Cetelem (2)"</c:f>
              <c:strCache>
                <c:ptCount val="1"/>
                <c:pt idx="0">
                  <c:v>Cetelem (2)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Deudas'!$E$16</c:f>
              <c:numCache>
                <c:formatCode>#,##0.00" €"</c:formatCode>
                <c:ptCount val="1"/>
                <c:pt idx="0">
                  <c:v>4906.4</c:v>
                </c:pt>
              </c:numCache>
            </c:numRef>
          </c:val>
        </c:ser>
        <c:ser>
          <c:idx val="4"/>
          <c:order val="4"/>
          <c:tx>
            <c:strRef>
              <c:f>"Carrefour S.Financ"</c:f>
              <c:strCache>
                <c:ptCount val="1"/>
                <c:pt idx="0">
                  <c:v>Carrefour S.Financ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Deudas'!$F$16</c:f>
              <c:numCache>
                <c:formatCode>#,##0.00" €"</c:formatCode>
                <c:ptCount val="1"/>
                <c:pt idx="0">
                  <c:v>4661.08</c:v>
                </c:pt>
              </c:numCache>
            </c:numRef>
          </c:val>
        </c:ser>
        <c:ser>
          <c:idx val="5"/>
          <c:order val="5"/>
          <c:tx>
            <c:strRef>
              <c:f>"Carrefour Serv.Fin"</c:f>
              <c:strCache>
                <c:ptCount val="1"/>
                <c:pt idx="0">
                  <c:v>Carrefour Serv.Fin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Deudas'!$G$16</c:f>
              <c:numCache>
                <c:formatCode>#,##0.00" €"</c:formatCode>
                <c:ptCount val="1"/>
                <c:pt idx="0">
                  <c:v>4415.76</c:v>
                </c:pt>
              </c:numCache>
            </c:numRef>
          </c:val>
        </c:ser>
        <c:ser>
          <c:idx val="6"/>
          <c:order val="6"/>
          <c:tx>
            <c:strRef>
              <c:f>"Carrefour S.F."</c:f>
              <c:strCache>
                <c:ptCount val="1"/>
                <c:pt idx="0">
                  <c:v>Carrefour S.F.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Deudas'!$H$16</c:f>
              <c:numCache>
                <c:formatCode>#,##0.00" €"</c:formatCode>
                <c:ptCount val="1"/>
                <c:pt idx="0">
                  <c:v>4170.44</c:v>
                </c:pt>
              </c:numCache>
            </c:numRef>
          </c:val>
        </c:ser>
        <c:ser>
          <c:idx val="7"/>
          <c:order val="7"/>
          <c:tx>
            <c:strRef>
              <c:f>"Hipoteca"</c:f>
              <c:strCache>
                <c:ptCount val="1"/>
                <c:pt idx="0">
                  <c:v>Hipoteca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Deudas'!$I$16</c:f>
              <c:numCache>
                <c:formatCode>#,##0.00" €"</c:formatCode>
                <c:ptCount val="1"/>
                <c:pt idx="0">
                  <c:v>3925.12</c:v>
                </c:pt>
              </c:numCache>
            </c:numRef>
          </c:val>
        </c:ser>
        <c:ser>
          <c:idx val="8"/>
          <c:order val="8"/>
          <c:spPr>
            <a:solidFill>
              <a:srgbClr val="6d833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Deudas'!$J$16</c:f>
              <c:numCache>
                <c:formatCode>#,##0.00" €"</c:formatCode>
                <c:ptCount val="1"/>
                <c:pt idx="0">
                  <c:v>3679.8</c:v>
                </c:pt>
              </c:numCache>
            </c:numRef>
          </c:val>
        </c:ser>
        <c:ser>
          <c:idx val="9"/>
          <c:order val="9"/>
          <c:spPr>
            <a:solidFill>
              <a:srgbClr val="5a46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Deudas'!$K$16</c:f>
              <c:numCache>
                <c:formatCode>#,##0.00" €"</c:formatCode>
                <c:ptCount val="1"/>
                <c:pt idx="0">
                  <c:v>3434.48</c:v>
                </c:pt>
              </c:numCache>
            </c:numRef>
          </c:val>
        </c:ser>
        <c:ser>
          <c:idx val="10"/>
          <c:order val="10"/>
          <c:spPr>
            <a:solidFill>
              <a:srgbClr val="34798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Deudas'!$L$16</c:f>
              <c:numCache>
                <c:formatCode>#,##0.00" €"</c:formatCode>
                <c:ptCount val="1"/>
                <c:pt idx="0">
                  <c:v>3189.16</c:v>
                </c:pt>
              </c:numCache>
            </c:numRef>
          </c:val>
        </c:ser>
        <c:ser>
          <c:idx val="11"/>
          <c:order val="11"/>
          <c:spPr>
            <a:solidFill>
              <a:srgbClr val="ae69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Deudas'!$M$16</c:f>
              <c:numCache>
                <c:formatCode>#,##0.00" €"</c:formatCode>
                <c:ptCount val="1"/>
                <c:pt idx="0">
                  <c:v>2943.84</c:v>
                </c:pt>
              </c:numCache>
            </c:numRef>
          </c:val>
        </c:ser>
        <c:ser>
          <c:idx val="12"/>
          <c:order val="12"/>
          <c:spPr>
            <a:solidFill>
              <a:srgbClr val="3b6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Deudas'!$N$16</c:f>
              <c:numCache>
                <c:formatCode>#,##0.00" €"</c:formatCode>
                <c:ptCount val="1"/>
                <c:pt idx="0">
                  <c:v>2698.52</c:v>
                </c:pt>
              </c:numCache>
            </c:numRef>
          </c:val>
        </c:ser>
        <c:ser>
          <c:idx val="13"/>
          <c:order val="13"/>
          <c:spPr>
            <a:solidFill>
              <a:srgbClr val="903c3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Deudas'!$B$17</c:f>
              <c:numCache>
                <c:formatCode>#,##0.00" €"</c:formatCode>
                <c:ptCount val="1"/>
                <c:pt idx="0">
                  <c:v>149300</c:v>
                </c:pt>
              </c:numCache>
            </c:numRef>
          </c:val>
        </c:ser>
        <c:ser>
          <c:idx val="14"/>
          <c:order val="14"/>
          <c:spPr>
            <a:solidFill>
              <a:srgbClr val="748c4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Deudas'!$C$17</c:f>
              <c:numCache>
                <c:formatCode>#,##0.00" €"</c:formatCode>
                <c:ptCount val="1"/>
                <c:pt idx="0">
                  <c:v>148600</c:v>
                </c:pt>
              </c:numCache>
            </c:numRef>
          </c:val>
        </c:ser>
        <c:ser>
          <c:idx val="15"/>
          <c:order val="15"/>
          <c:spPr>
            <a:solidFill>
              <a:srgbClr val="604b7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Deudas'!$D$17</c:f>
              <c:numCache>
                <c:formatCode>#,##0.00" €"</c:formatCode>
                <c:ptCount val="1"/>
                <c:pt idx="0">
                  <c:v>147900</c:v>
                </c:pt>
              </c:numCache>
            </c:numRef>
          </c:val>
        </c:ser>
        <c:ser>
          <c:idx val="16"/>
          <c:order val="16"/>
          <c:spPr>
            <a:solidFill>
              <a:srgbClr val="38819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Deudas'!$E$17</c:f>
              <c:numCache>
                <c:formatCode>#,##0.00" €"</c:formatCode>
                <c:ptCount val="1"/>
                <c:pt idx="0">
                  <c:v>147200</c:v>
                </c:pt>
              </c:numCache>
            </c:numRef>
          </c:val>
        </c:ser>
        <c:ser>
          <c:idx val="17"/>
          <c:order val="17"/>
          <c:spPr>
            <a:solidFill>
              <a:srgbClr val="ba703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Deudas'!$F$17</c:f>
              <c:numCache>
                <c:formatCode>#,##0.00" €"</c:formatCode>
                <c:ptCount val="1"/>
                <c:pt idx="0">
                  <c:v>146500</c:v>
                </c:pt>
              </c:numCache>
            </c:numRef>
          </c:val>
        </c:ser>
        <c:ser>
          <c:idx val="18"/>
          <c:order val="18"/>
          <c:spPr>
            <a:solidFill>
              <a:srgbClr val="3f669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Deudas'!$G$17</c:f>
              <c:numCache>
                <c:formatCode>#,##0.00" €"</c:formatCode>
                <c:ptCount val="1"/>
                <c:pt idx="0">
                  <c:v>145800</c:v>
                </c:pt>
              </c:numCache>
            </c:numRef>
          </c:val>
        </c:ser>
        <c:ser>
          <c:idx val="19"/>
          <c:order val="19"/>
          <c:spPr>
            <a:solidFill>
              <a:srgbClr val="993f3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Deudas'!$H$17</c:f>
              <c:numCache>
                <c:formatCode>#,##0.00" €"</c:formatCode>
                <c:ptCount val="1"/>
                <c:pt idx="0">
                  <c:v>145100</c:v>
                </c:pt>
              </c:numCache>
            </c:numRef>
          </c:val>
        </c:ser>
        <c:ser>
          <c:idx val="20"/>
          <c:order val="20"/>
          <c:spPr>
            <a:solidFill>
              <a:srgbClr val="7b95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Deudas'!$I$17</c:f>
              <c:numCache>
                <c:formatCode>#,##0.00" €"</c:formatCode>
                <c:ptCount val="1"/>
                <c:pt idx="0">
                  <c:v>144400</c:v>
                </c:pt>
              </c:numCache>
            </c:numRef>
          </c:val>
        </c:ser>
        <c:ser>
          <c:idx val="21"/>
          <c:order val="21"/>
          <c:spPr>
            <a:solidFill>
              <a:srgbClr val="664f8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Deudas'!$J$17</c:f>
              <c:numCache>
                <c:formatCode>#,##0.00" €"</c:formatCode>
                <c:ptCount val="1"/>
                <c:pt idx="0">
                  <c:v>143700</c:v>
                </c:pt>
              </c:numCache>
            </c:numRef>
          </c:val>
        </c:ser>
        <c:ser>
          <c:idx val="22"/>
          <c:order val="22"/>
          <c:spPr>
            <a:solidFill>
              <a:srgbClr val="3b899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Deudas'!$K$17</c:f>
              <c:numCache>
                <c:formatCode>#,##0.00" €"</c:formatCode>
                <c:ptCount val="1"/>
                <c:pt idx="0">
                  <c:v>143000</c:v>
                </c:pt>
              </c:numCache>
            </c:numRef>
          </c:val>
        </c:ser>
        <c:ser>
          <c:idx val="23"/>
          <c:order val="23"/>
          <c:spPr>
            <a:solidFill>
              <a:srgbClr val="c5773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Deudas'!$L$17</c:f>
              <c:numCache>
                <c:formatCode>#,##0.00" €"</c:formatCode>
                <c:ptCount val="1"/>
                <c:pt idx="0">
                  <c:v>142300</c:v>
                </c:pt>
              </c:numCache>
            </c:numRef>
          </c:val>
        </c:ser>
        <c:ser>
          <c:idx val="24"/>
          <c:order val="24"/>
          <c:spPr>
            <a:solidFill>
              <a:srgbClr val="426c9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Deudas'!$M$17</c:f>
              <c:numCache>
                <c:formatCode>#,##0.00" €"</c:formatCode>
                <c:ptCount val="1"/>
                <c:pt idx="0">
                  <c:v>141600</c:v>
                </c:pt>
              </c:numCache>
            </c:numRef>
          </c:val>
        </c:ser>
        <c:ser>
          <c:idx val="25"/>
          <c:order val="25"/>
          <c:spPr>
            <a:solidFill>
              <a:srgbClr val="a1434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Deudas'!$N$17</c:f>
              <c:numCache>
                <c:formatCode>#,##0.00" €"</c:formatCode>
                <c:ptCount val="1"/>
                <c:pt idx="0">
                  <c:v>140900</c:v>
                </c:pt>
              </c:numCache>
            </c:numRef>
          </c:val>
        </c:ser>
        <c:ser>
          <c:idx val="26"/>
          <c:order val="26"/>
          <c:spPr>
            <a:solidFill>
              <a:srgbClr val="829c4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Deudas'!$B$18</c:f>
              <c:numCache>
                <c:formatCode>#,##0.00" €"</c:formatCode>
                <c:ptCount val="1"/>
                <c:pt idx="0">
                  <c:v>174179.71</c:v>
                </c:pt>
              </c:numCache>
            </c:numRef>
          </c:val>
        </c:ser>
        <c:ser>
          <c:idx val="27"/>
          <c:order val="27"/>
          <c:spPr>
            <a:solidFill>
              <a:srgbClr val="6b538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Deudas'!$C$18</c:f>
              <c:numCache>
                <c:formatCode>#,##0.00" €"</c:formatCode>
                <c:ptCount val="1"/>
                <c:pt idx="0">
                  <c:v>172028.42</c:v>
                </c:pt>
              </c:numCache>
            </c:numRef>
          </c:val>
        </c:ser>
        <c:ser>
          <c:idx val="28"/>
          <c:order val="28"/>
          <c:spPr>
            <a:solidFill>
              <a:srgbClr val="3e90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Deudas'!$D$18</c:f>
              <c:numCache>
                <c:formatCode>#,##0.00" €"</c:formatCode>
                <c:ptCount val="1"/>
                <c:pt idx="0">
                  <c:v>169877.13</c:v>
                </c:pt>
              </c:numCache>
            </c:numRef>
          </c:val>
        </c:ser>
        <c:ser>
          <c:idx val="29"/>
          <c:order val="29"/>
          <c:spPr>
            <a:solidFill>
              <a:srgbClr val="cf7d3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Deudas'!$E$18</c:f>
              <c:numCache>
                <c:formatCode>#,##0.00" €"</c:formatCode>
                <c:ptCount val="1"/>
                <c:pt idx="0">
                  <c:v>167725.84</c:v>
                </c:pt>
              </c:numCache>
            </c:numRef>
          </c:val>
        </c:ser>
        <c:ser>
          <c:idx val="30"/>
          <c:order val="30"/>
          <c:spPr>
            <a:solidFill>
              <a:srgbClr val="4571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Deudas'!$F$18</c:f>
              <c:numCache>
                <c:formatCode>#,##0.00" €"</c:formatCode>
                <c:ptCount val="1"/>
                <c:pt idx="0">
                  <c:v>165574.55</c:v>
                </c:pt>
              </c:numCache>
            </c:numRef>
          </c:val>
        </c:ser>
        <c:ser>
          <c:idx val="31"/>
          <c:order val="31"/>
          <c:spPr>
            <a:solidFill>
              <a:srgbClr val="a8464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Deudas'!$G$18</c:f>
              <c:numCache>
                <c:formatCode>#,##0.00" €"</c:formatCode>
                <c:ptCount val="1"/>
                <c:pt idx="0">
                  <c:v>163423.26</c:v>
                </c:pt>
              </c:numCache>
            </c:numRef>
          </c:val>
        </c:ser>
        <c:ser>
          <c:idx val="32"/>
          <c:order val="32"/>
          <c:spPr>
            <a:solidFill>
              <a:srgbClr val="88a44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Deudas'!$H$18</c:f>
              <c:numCache>
                <c:formatCode>#,##0.00" €"</c:formatCode>
                <c:ptCount val="1"/>
                <c:pt idx="0">
                  <c:v>161271.97</c:v>
                </c:pt>
              </c:numCache>
            </c:numRef>
          </c:val>
        </c:ser>
        <c:ser>
          <c:idx val="33"/>
          <c:order val="33"/>
          <c:spPr>
            <a:solidFill>
              <a:srgbClr val="7057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Deudas'!$I$18</c:f>
              <c:numCache>
                <c:formatCode>#,##0.00" €"</c:formatCode>
                <c:ptCount val="1"/>
                <c:pt idx="0">
                  <c:v>159120.68</c:v>
                </c:pt>
              </c:numCache>
            </c:numRef>
          </c:val>
        </c:ser>
        <c:ser>
          <c:idx val="34"/>
          <c:order val="34"/>
          <c:spPr>
            <a:solidFill>
              <a:srgbClr val="4197a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Deudas'!$J$18</c:f>
              <c:numCache>
                <c:formatCode>#,##0.00" €"</c:formatCode>
                <c:ptCount val="1"/>
                <c:pt idx="0">
                  <c:v>156969.39</c:v>
                </c:pt>
              </c:numCache>
            </c:numRef>
          </c:val>
        </c:ser>
        <c:ser>
          <c:idx val="35"/>
          <c:order val="35"/>
          <c:spPr>
            <a:solidFill>
              <a:srgbClr val="d8833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Deudas'!$K$18</c:f>
              <c:numCache>
                <c:formatCode>#,##0.00" €"</c:formatCode>
                <c:ptCount val="1"/>
                <c:pt idx="0">
                  <c:v>154818.1</c:v>
                </c:pt>
              </c:numCache>
            </c:numRef>
          </c:val>
        </c:ser>
        <c:ser>
          <c:idx val="36"/>
          <c:order val="36"/>
          <c:spPr>
            <a:solidFill>
              <a:srgbClr val="4876a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Deudas'!$L$18</c:f>
              <c:numCache>
                <c:formatCode>#,##0.00" €"</c:formatCode>
                <c:ptCount val="1"/>
                <c:pt idx="0">
                  <c:v>152666.81</c:v>
                </c:pt>
              </c:numCache>
            </c:numRef>
          </c:val>
        </c:ser>
        <c:ser>
          <c:idx val="37"/>
          <c:order val="37"/>
          <c:spPr>
            <a:solidFill>
              <a:srgbClr val="af49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Deudas'!$M$18</c:f>
              <c:numCache>
                <c:formatCode>#,##0.00" €"</c:formatCode>
                <c:ptCount val="1"/>
                <c:pt idx="0">
                  <c:v>150515.52</c:v>
                </c:pt>
              </c:numCache>
            </c:numRef>
          </c:val>
        </c:ser>
        <c:ser>
          <c:idx val="38"/>
          <c:order val="38"/>
          <c:spPr>
            <a:solidFill>
              <a:srgbClr val="8dab5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Deudas'!$N$18</c:f>
              <c:numCache>
                <c:formatCode>#,##0.00" €"</c:formatCode>
                <c:ptCount val="1"/>
                <c:pt idx="0">
                  <c:v>149072.56</c:v>
                </c:pt>
              </c:numCache>
            </c:numRef>
          </c:val>
        </c:ser>
        <c:ser>
          <c:idx val="39"/>
          <c:order val="39"/>
          <c:spPr>
            <a:solidFill>
              <a:srgbClr val="755b9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Deudas'!$B$19</c:f>
              <c:numCache>
                <c:formatCode>General</c:formatCode>
                <c:ptCount val="1"/>
              </c:numCache>
            </c:numRef>
          </c:val>
        </c:ser>
        <c:ser>
          <c:idx val="40"/>
          <c:order val="40"/>
          <c:spPr>
            <a:solidFill>
              <a:srgbClr val="449db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Deudas'!$C$19</c:f>
              <c:numCache>
                <c:formatCode>General</c:formatCode>
                <c:ptCount val="1"/>
              </c:numCache>
            </c:numRef>
          </c:val>
        </c:ser>
        <c:ser>
          <c:idx val="41"/>
          <c:order val="41"/>
          <c:spPr>
            <a:solidFill>
              <a:srgbClr val="e2894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Deudas'!$D$19</c:f>
              <c:numCache>
                <c:formatCode>General</c:formatCode>
                <c:ptCount val="1"/>
              </c:numCache>
            </c:numRef>
          </c:val>
        </c:ser>
        <c:ser>
          <c:idx val="42"/>
          <c:order val="42"/>
          <c:spPr>
            <a:solidFill>
              <a:srgbClr val="4b7ab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Deudas'!$E$19</c:f>
              <c:numCache>
                <c:formatCode>General</c:formatCode>
                <c:ptCount val="1"/>
              </c:numCache>
            </c:numRef>
          </c:val>
        </c:ser>
        <c:ser>
          <c:idx val="43"/>
          <c:order val="43"/>
          <c:spPr>
            <a:solidFill>
              <a:srgbClr val="b64c4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Deudas'!$F$19</c:f>
              <c:numCache>
                <c:formatCode>General</c:formatCode>
                <c:ptCount val="1"/>
              </c:numCache>
            </c:numRef>
          </c:val>
        </c:ser>
        <c:ser>
          <c:idx val="44"/>
          <c:order val="44"/>
          <c:spPr>
            <a:solidFill>
              <a:srgbClr val="93b15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Deudas'!$G$19</c:f>
              <c:numCache>
                <c:formatCode>General</c:formatCode>
                <c:ptCount val="1"/>
              </c:numCache>
            </c:numRef>
          </c:val>
        </c:ser>
        <c:ser>
          <c:idx val="45"/>
          <c:order val="45"/>
          <c:spPr>
            <a:solidFill>
              <a:srgbClr val="795f9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Deudas'!$H$19</c:f>
              <c:numCache>
                <c:formatCode>General</c:formatCode>
                <c:ptCount val="1"/>
              </c:numCache>
            </c:numRef>
          </c:val>
        </c:ser>
        <c:ser>
          <c:idx val="46"/>
          <c:order val="46"/>
          <c:spPr>
            <a:solidFill>
              <a:srgbClr val="47a3b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Deudas'!$I$19</c:f>
              <c:numCache>
                <c:formatCode>General</c:formatCode>
                <c:ptCount val="1"/>
              </c:numCache>
            </c:numRef>
          </c:val>
        </c:ser>
        <c:ser>
          <c:idx val="47"/>
          <c:order val="47"/>
          <c:spPr>
            <a:solidFill>
              <a:srgbClr val="ea8e4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Deudas'!$J$19</c:f>
              <c:numCache>
                <c:formatCode>General</c:formatCode>
                <c:ptCount val="1"/>
              </c:numCache>
            </c:numRef>
          </c:val>
        </c:ser>
        <c:ser>
          <c:idx val="48"/>
          <c:order val="48"/>
          <c:spPr>
            <a:solidFill>
              <a:srgbClr val="4d7eb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Deudas'!$K$19</c:f>
              <c:numCache>
                <c:formatCode>General</c:formatCode>
                <c:ptCount val="1"/>
              </c:numCache>
            </c:numRef>
          </c:val>
        </c:ser>
        <c:ser>
          <c:idx val="49"/>
          <c:order val="49"/>
          <c:spPr>
            <a:solidFill>
              <a:srgbClr val="bc4e4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Deudas'!$L$19</c:f>
              <c:numCache>
                <c:formatCode>General</c:formatCode>
                <c:ptCount val="1"/>
              </c:numCache>
            </c:numRef>
          </c:val>
        </c:ser>
        <c:ser>
          <c:idx val="50"/>
          <c:order val="50"/>
          <c:spPr>
            <a:solidFill>
              <a:srgbClr val="98b75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Deudas'!$M$19</c:f>
              <c:numCache>
                <c:formatCode>General</c:formatCode>
                <c:ptCount val="1"/>
              </c:numCache>
            </c:numRef>
          </c:val>
        </c:ser>
        <c:ser>
          <c:idx val="51"/>
          <c:order val="51"/>
          <c:spPr>
            <a:solidFill>
              <a:srgbClr val="7d629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Deudas'!$N$19</c:f>
              <c:numCache>
                <c:formatCode>General</c:formatCode>
                <c:ptCount val="1"/>
              </c:numCache>
            </c:numRef>
          </c:val>
        </c:ser>
        <c:ser>
          <c:idx val="52"/>
          <c:order val="52"/>
          <c:spPr>
            <a:solidFill>
              <a:srgbClr val="49a9c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Deudas'!$B$20</c:f>
              <c:numCache>
                <c:formatCode>General</c:formatCode>
                <c:ptCount val="1"/>
              </c:numCache>
            </c:numRef>
          </c:val>
        </c:ser>
        <c:ser>
          <c:idx val="53"/>
          <c:order val="53"/>
          <c:spPr>
            <a:solidFill>
              <a:srgbClr val="f293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Deudas'!$C$20</c:f>
              <c:numCache>
                <c:formatCode>General</c:formatCode>
                <c:ptCount val="1"/>
              </c:numCache>
            </c:numRef>
          </c:val>
        </c:ser>
        <c:ser>
          <c:idx val="54"/>
          <c:order val="54"/>
          <c:spPr>
            <a:solidFill>
              <a:srgbClr val="5e88b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Deudas'!$D$20</c:f>
              <c:numCache>
                <c:formatCode>General</c:formatCode>
                <c:ptCount val="1"/>
              </c:numCache>
            </c:numRef>
          </c:val>
        </c:ser>
        <c:ser>
          <c:idx val="55"/>
          <c:order val="55"/>
          <c:spPr>
            <a:solidFill>
              <a:srgbClr val="c25f5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Deudas'!$E$20</c:f>
              <c:numCache>
                <c:formatCode>General</c:formatCode>
                <c:ptCount val="1"/>
              </c:numCache>
            </c:numRef>
          </c:val>
        </c:ser>
        <c:ser>
          <c:idx val="56"/>
          <c:order val="56"/>
          <c:spPr>
            <a:solidFill>
              <a:srgbClr val="a0be6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Deudas'!$F$20</c:f>
              <c:numCache>
                <c:formatCode>General</c:formatCode>
                <c:ptCount val="1"/>
              </c:numCache>
            </c:numRef>
          </c:val>
        </c:ser>
        <c:ser>
          <c:idx val="57"/>
          <c:order val="57"/>
          <c:spPr>
            <a:solidFill>
              <a:srgbClr val="876f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Deudas'!$G$20</c:f>
              <c:numCache>
                <c:formatCode>General</c:formatCode>
                <c:ptCount val="1"/>
              </c:numCache>
            </c:numRef>
          </c:val>
        </c:ser>
        <c:ser>
          <c:idx val="58"/>
          <c:order val="58"/>
          <c:spPr>
            <a:solidFill>
              <a:srgbClr val="5bafc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Deudas'!$H$20</c:f>
              <c:numCache>
                <c:formatCode>General</c:formatCode>
                <c:ptCount val="1"/>
              </c:numCache>
            </c:numRef>
          </c:val>
        </c:ser>
        <c:ser>
          <c:idx val="59"/>
          <c:order val="59"/>
          <c:spPr>
            <a:solidFill>
              <a:srgbClr val="f79b5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Deudas'!$I$20</c:f>
              <c:numCache>
                <c:formatCode>General</c:formatCode>
                <c:ptCount val="1"/>
              </c:numCache>
            </c:numRef>
          </c:val>
        </c:ser>
        <c:ser>
          <c:idx val="60"/>
          <c:order val="60"/>
          <c:spPr>
            <a:solidFill>
              <a:srgbClr val="7696c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Deudas'!$J$20</c:f>
              <c:numCache>
                <c:formatCode>General</c:formatCode>
                <c:ptCount val="1"/>
              </c:numCache>
            </c:numRef>
          </c:val>
        </c:ser>
        <c:ser>
          <c:idx val="61"/>
          <c:order val="61"/>
          <c:spPr>
            <a:solidFill>
              <a:srgbClr val="c8767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Deudas'!$K$20</c:f>
              <c:numCache>
                <c:formatCode>General</c:formatCode>
                <c:ptCount val="1"/>
              </c:numCache>
            </c:numRef>
          </c:val>
        </c:ser>
        <c:ser>
          <c:idx val="62"/>
          <c:order val="62"/>
          <c:spPr>
            <a:solidFill>
              <a:srgbClr val="aac47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Deudas'!$L$20</c:f>
              <c:numCache>
                <c:formatCode>General</c:formatCode>
                <c:ptCount val="1"/>
              </c:numCache>
            </c:numRef>
          </c:val>
        </c:ser>
        <c:ser>
          <c:idx val="63"/>
          <c:order val="63"/>
          <c:spPr>
            <a:solidFill>
              <a:srgbClr val="9582a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Deudas'!$M$20</c:f>
              <c:numCache>
                <c:formatCode>General</c:formatCode>
                <c:ptCount val="1"/>
              </c:numCache>
            </c:numRef>
          </c:val>
        </c:ser>
        <c:ser>
          <c:idx val="64"/>
          <c:order val="64"/>
          <c:spPr>
            <a:solidFill>
              <a:srgbClr val="74b7c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Deudas'!$N$20</c:f>
              <c:numCache>
                <c:formatCode>General</c:formatCode>
                <c:ptCount val="1"/>
              </c:numCache>
            </c:numRef>
          </c:val>
        </c:ser>
        <c:ser>
          <c:idx val="65"/>
          <c:order val="65"/>
          <c:spPr>
            <a:solidFill>
              <a:srgbClr val="f7a67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Deudas'!$B$21</c:f>
              <c:numCache>
                <c:formatCode>General</c:formatCode>
                <c:ptCount val="1"/>
              </c:numCache>
            </c:numRef>
          </c:val>
        </c:ser>
        <c:ser>
          <c:idx val="66"/>
          <c:order val="66"/>
          <c:spPr>
            <a:solidFill>
              <a:srgbClr val="88a2c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Deudas'!$C$21</c:f>
              <c:numCache>
                <c:formatCode>General</c:formatCode>
                <c:ptCount val="1"/>
              </c:numCache>
            </c:numRef>
          </c:val>
        </c:ser>
        <c:ser>
          <c:idx val="67"/>
          <c:order val="67"/>
          <c:spPr>
            <a:solidFill>
              <a:srgbClr val="cd898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Deudas'!$D$21</c:f>
              <c:numCache>
                <c:formatCode>General</c:formatCode>
                <c:ptCount val="1"/>
              </c:numCache>
            </c:numRef>
          </c:val>
        </c:ser>
        <c:ser>
          <c:idx val="68"/>
          <c:order val="68"/>
          <c:spPr>
            <a:solidFill>
              <a:srgbClr val="b3c98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Deudas'!$E$21</c:f>
              <c:numCache>
                <c:formatCode>General</c:formatCode>
                <c:ptCount val="1"/>
              </c:numCache>
            </c:numRef>
          </c:val>
        </c:ser>
        <c:ser>
          <c:idx val="69"/>
          <c:order val="69"/>
          <c:spPr>
            <a:solidFill>
              <a:srgbClr val="a192b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Deudas'!$F$21</c:f>
              <c:numCache>
                <c:formatCode>General</c:formatCode>
                <c:ptCount val="1"/>
              </c:numCache>
            </c:numRef>
          </c:val>
        </c:ser>
        <c:ser>
          <c:idx val="70"/>
          <c:order val="70"/>
          <c:spPr>
            <a:solidFill>
              <a:srgbClr val="87bed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Deudas'!$G$21</c:f>
              <c:numCache>
                <c:formatCode>General</c:formatCode>
                <c:ptCount val="1"/>
              </c:numCache>
            </c:numRef>
          </c:val>
        </c:ser>
        <c:ser>
          <c:idx val="71"/>
          <c:order val="71"/>
          <c:spPr>
            <a:solidFill>
              <a:srgbClr val="f8af8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Deudas'!$H$21</c:f>
              <c:numCache>
                <c:formatCode>General</c:formatCode>
                <c:ptCount val="1"/>
              </c:numCache>
            </c:numRef>
          </c:val>
        </c:ser>
        <c:ser>
          <c:idx val="72"/>
          <c:order val="72"/>
          <c:spPr>
            <a:solidFill>
              <a:srgbClr val="98add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Deudas'!$I$21</c:f>
              <c:numCache>
                <c:formatCode>General</c:formatCode>
                <c:ptCount val="1"/>
              </c:numCache>
            </c:numRef>
          </c:val>
        </c:ser>
        <c:ser>
          <c:idx val="73"/>
          <c:order val="73"/>
          <c:spPr>
            <a:solidFill>
              <a:srgbClr val="d2999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Deudas'!$J$21</c:f>
              <c:numCache>
                <c:formatCode>General</c:formatCode>
                <c:ptCount val="1"/>
              </c:numCache>
            </c:numRef>
          </c:val>
        </c:ser>
        <c:ser>
          <c:idx val="74"/>
          <c:order val="74"/>
          <c:spPr>
            <a:solidFill>
              <a:srgbClr val="bbcf9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Deudas'!$K$21</c:f>
              <c:numCache>
                <c:formatCode>General</c:formatCode>
                <c:ptCount val="1"/>
              </c:numCache>
            </c:numRef>
          </c:val>
        </c:ser>
        <c:ser>
          <c:idx val="75"/>
          <c:order val="75"/>
          <c:spPr>
            <a:solidFill>
              <a:srgbClr val="ada0b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Deudas'!$L$21</c:f>
              <c:numCache>
                <c:formatCode>General</c:formatCode>
                <c:ptCount val="1"/>
              </c:numCache>
            </c:numRef>
          </c:val>
        </c:ser>
        <c:ser>
          <c:idx val="76"/>
          <c:order val="76"/>
          <c:spPr>
            <a:solidFill>
              <a:srgbClr val="97c5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Deudas'!$M$21</c:f>
              <c:numCache>
                <c:formatCode>General</c:formatCode>
                <c:ptCount val="1"/>
              </c:numCache>
            </c:numRef>
          </c:val>
        </c:ser>
        <c:ser>
          <c:idx val="77"/>
          <c:order val="77"/>
          <c:spPr>
            <a:solidFill>
              <a:srgbClr val="f9b89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Deudas'!$N$21</c:f>
              <c:numCache>
                <c:formatCode>General</c:formatCode>
                <c:ptCount val="1"/>
              </c:numCache>
            </c:numRef>
          </c:val>
        </c:ser>
        <c:ser>
          <c:idx val="78"/>
          <c:order val="78"/>
          <c:spPr>
            <a:solidFill>
              <a:srgbClr val="a6b7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Deudas'!$B$22</c:f>
              <c:numCache>
                <c:formatCode>General</c:formatCode>
                <c:ptCount val="1"/>
              </c:numCache>
            </c:numRef>
          </c:val>
        </c:ser>
        <c:ser>
          <c:idx val="79"/>
          <c:order val="79"/>
          <c:spPr>
            <a:solidFill>
              <a:srgbClr val="d7a7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Deudas'!$C$22</c:f>
              <c:numCache>
                <c:formatCode>General</c:formatCode>
                <c:ptCount val="1"/>
              </c:numCache>
            </c:numRef>
          </c:val>
        </c:ser>
        <c:ser>
          <c:idx val="80"/>
          <c:order val="80"/>
          <c:spPr>
            <a:solidFill>
              <a:srgbClr val="c3d4a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Deudas'!$D$22</c:f>
              <c:numCache>
                <c:formatCode>General</c:formatCode>
                <c:ptCount val="1"/>
              </c:numCache>
            </c:numRef>
          </c:val>
        </c:ser>
        <c:ser>
          <c:idx val="81"/>
          <c:order val="81"/>
          <c:spPr>
            <a:solidFill>
              <a:srgbClr val="b7acc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Deudas'!$E$22</c:f>
              <c:numCache>
                <c:formatCode>General</c:formatCode>
                <c:ptCount val="1"/>
              </c:numCache>
            </c:numRef>
          </c:val>
        </c:ser>
        <c:ser>
          <c:idx val="82"/>
          <c:order val="82"/>
          <c:spPr>
            <a:solidFill>
              <a:srgbClr val="a5ccd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Deudas'!$F$22</c:f>
              <c:numCache>
                <c:formatCode>General</c:formatCode>
                <c:ptCount val="1"/>
              </c:numCache>
            </c:numRef>
          </c:val>
        </c:ser>
        <c:ser>
          <c:idx val="83"/>
          <c:order val="83"/>
          <c:spPr>
            <a:solidFill>
              <a:srgbClr val="f9c1a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Deudas'!$G$22</c:f>
              <c:numCache>
                <c:formatCode>General</c:formatCode>
                <c:ptCount val="1"/>
              </c:numCache>
            </c:numRef>
          </c:val>
        </c:ser>
        <c:ser>
          <c:idx val="84"/>
          <c:order val="84"/>
          <c:spPr>
            <a:solidFill>
              <a:srgbClr val="b3c1d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Deudas'!$H$22</c:f>
              <c:numCache>
                <c:formatCode>General</c:formatCode>
                <c:ptCount val="1"/>
              </c:numCache>
            </c:numRef>
          </c:val>
        </c:ser>
        <c:ser>
          <c:idx val="85"/>
          <c:order val="85"/>
          <c:spPr>
            <a:solidFill>
              <a:srgbClr val="dcb3b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Deudas'!$I$22</c:f>
              <c:numCache>
                <c:formatCode>General</c:formatCode>
                <c:ptCount val="1"/>
              </c:numCache>
            </c:numRef>
          </c:val>
        </c:ser>
        <c:ser>
          <c:idx val="86"/>
          <c:order val="86"/>
          <c:spPr>
            <a:solidFill>
              <a:srgbClr val="cbd9b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Deudas'!$J$22</c:f>
              <c:numCache>
                <c:formatCode>General</c:formatCode>
                <c:ptCount val="1"/>
              </c:numCache>
            </c:numRef>
          </c:val>
        </c:ser>
        <c:ser>
          <c:idx val="87"/>
          <c:order val="87"/>
          <c:spPr>
            <a:solidFill>
              <a:srgbClr val="c1b8c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Deudas'!$K$22</c:f>
              <c:numCache>
                <c:formatCode>General</c:formatCode>
                <c:ptCount val="1"/>
              </c:numCache>
            </c:numRef>
          </c:val>
        </c:ser>
        <c:ser>
          <c:idx val="88"/>
          <c:order val="88"/>
          <c:spPr>
            <a:solidFill>
              <a:srgbClr val="b2d2d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Deudas'!$L$22</c:f>
              <c:numCache>
                <c:formatCode>General</c:formatCode>
                <c:ptCount val="1"/>
              </c:numCache>
            </c:numRef>
          </c:val>
        </c:ser>
        <c:ser>
          <c:idx val="89"/>
          <c:order val="89"/>
          <c:spPr>
            <a:solidFill>
              <a:srgbClr val="fac9b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Deudas'!$M$22</c:f>
              <c:numCache>
                <c:formatCode>General</c:formatCode>
                <c:ptCount val="1"/>
              </c:numCache>
            </c:numRef>
          </c:val>
        </c:ser>
        <c:ser>
          <c:idx val="90"/>
          <c:order val="90"/>
          <c:spPr>
            <a:solidFill>
              <a:srgbClr val="becad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Deudas'!$N$22</c:f>
              <c:numCache>
                <c:formatCode>General</c:formatCode>
                <c:ptCount val="1"/>
              </c:numCache>
            </c:numRef>
          </c:val>
        </c:ser>
        <c:ser>
          <c:idx val="91"/>
          <c:order val="91"/>
          <c:spPr>
            <a:solidFill>
              <a:srgbClr val="e1bfb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Deudas'!$B$23</c:f>
              <c:numCache>
                <c:formatCode>General</c:formatCode>
                <c:ptCount val="1"/>
              </c:numCache>
            </c:numRef>
          </c:val>
        </c:ser>
        <c:ser>
          <c:idx val="92"/>
          <c:order val="92"/>
          <c:spPr>
            <a:solidFill>
              <a:srgbClr val="d2dec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Deudas'!$C$23</c:f>
              <c:numCache>
                <c:formatCode>General</c:formatCode>
                <c:ptCount val="1"/>
              </c:numCache>
            </c:numRef>
          </c:val>
        </c:ser>
        <c:ser>
          <c:idx val="93"/>
          <c:order val="93"/>
          <c:spPr>
            <a:solidFill>
              <a:srgbClr val="cac2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Deudas'!$D$23</c:f>
              <c:numCache>
                <c:formatCode>General</c:formatCode>
                <c:ptCount val="1"/>
              </c:numCache>
            </c:numRef>
          </c:val>
        </c:ser>
        <c:ser>
          <c:idx val="94"/>
          <c:order val="94"/>
          <c:spPr>
            <a:solidFill>
              <a:srgbClr val="bed8e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Deudas'!$E$23</c:f>
              <c:numCache>
                <c:formatCode>General</c:formatCode>
                <c:ptCount val="1"/>
              </c:numCache>
            </c:numRef>
          </c:val>
        </c:ser>
        <c:ser>
          <c:idx val="95"/>
          <c:order val="95"/>
          <c:spPr>
            <a:solidFill>
              <a:srgbClr val="fad0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Deudas'!$F$23</c:f>
              <c:numCache>
                <c:formatCode>General</c:formatCode>
                <c:ptCount val="1"/>
              </c:numCache>
            </c:numRef>
          </c:val>
        </c:ser>
        <c:ser>
          <c:idx val="96"/>
          <c:order val="96"/>
          <c:spPr>
            <a:solidFill>
              <a:srgbClr val="c9d2e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Deudas'!$G$23</c:f>
              <c:numCache>
                <c:formatCode>General</c:formatCode>
                <c:ptCount val="1"/>
              </c:numCache>
            </c:numRef>
          </c:val>
        </c:ser>
        <c:ser>
          <c:idx val="97"/>
          <c:order val="97"/>
          <c:spPr>
            <a:solidFill>
              <a:srgbClr val="e5c9c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Deudas'!$H$23</c:f>
              <c:numCache>
                <c:formatCode>General</c:formatCode>
                <c:ptCount val="1"/>
              </c:numCache>
            </c:numRef>
          </c:val>
        </c:ser>
        <c:ser>
          <c:idx val="98"/>
          <c:order val="98"/>
          <c:spPr>
            <a:solidFill>
              <a:srgbClr val="d9e3c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Deudas'!$I$23</c:f>
              <c:numCache>
                <c:formatCode>General</c:formatCode>
                <c:ptCount val="1"/>
              </c:numCache>
            </c:numRef>
          </c:val>
        </c:ser>
        <c:ser>
          <c:idx val="99"/>
          <c:order val="99"/>
          <c:spPr>
            <a:solidFill>
              <a:srgbClr val="d2ccd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Deudas'!$J$23</c:f>
              <c:numCache>
                <c:formatCode>General</c:formatCode>
                <c:ptCount val="1"/>
              </c:numCache>
            </c:numRef>
          </c:val>
        </c:ser>
        <c:ser>
          <c:idx val="100"/>
          <c:order val="100"/>
          <c:spPr>
            <a:solidFill>
              <a:srgbClr val="c9dee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Deudas'!$K$23</c:f>
              <c:numCache>
                <c:formatCode>General</c:formatCode>
                <c:ptCount val="1"/>
              </c:numCache>
            </c:numRef>
          </c:val>
        </c:ser>
        <c:ser>
          <c:idx val="101"/>
          <c:order val="101"/>
          <c:spPr>
            <a:solidFill>
              <a:srgbClr val="fbd8c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Deudas'!$L$23</c:f>
              <c:numCache>
                <c:formatCode>General</c:formatCode>
                <c:ptCount val="1"/>
              </c:numCache>
            </c:numRef>
          </c:val>
        </c:ser>
        <c:ser>
          <c:idx val="102"/>
          <c:order val="102"/>
          <c:spPr>
            <a:solidFill>
              <a:srgbClr val="d3dae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Deudas'!$M$23</c:f>
              <c:numCache>
                <c:formatCode>General</c:formatCode>
                <c:ptCount val="1"/>
              </c:numCache>
            </c:numRef>
          </c:val>
        </c:ser>
        <c:ser>
          <c:idx val="103"/>
          <c:order val="103"/>
          <c:spPr>
            <a:solidFill>
              <a:srgbClr val="ead3d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Evolución Deudas'!$B$15:$N$15</c:f>
              <c:multiLvlStrCache>
                <c:ptCount val="1"/>
                <c:lvl>
                  <c:pt idx="0">
                    <c:v>5,474.04 €</c:v>
                  </c:pt>
                </c:lvl>
                <c:lvl>
                  <c:pt idx="0">
                    <c:v>5,971.68 €</c:v>
                  </c:pt>
                </c:lvl>
                <c:lvl>
                  <c:pt idx="0">
                    <c:v>6,469.32 €</c:v>
                  </c:pt>
                </c:lvl>
                <c:lvl>
                  <c:pt idx="0">
                    <c:v>6,966.96 €</c:v>
                  </c:pt>
                </c:lvl>
                <c:lvl>
                  <c:pt idx="0">
                    <c:v>7,464.60 €</c:v>
                  </c:pt>
                </c:lvl>
                <c:lvl>
                  <c:pt idx="0">
                    <c:v>7,962.24 €</c:v>
                  </c:pt>
                </c:lvl>
                <c:lvl>
                  <c:pt idx="0">
                    <c:v>8,459.88 €</c:v>
                  </c:pt>
                </c:lvl>
                <c:lvl>
                  <c:pt idx="0">
                    <c:v>8,957.52 €</c:v>
                  </c:pt>
                </c:lvl>
                <c:lvl>
                  <c:pt idx="0">
                    <c:v>9,455.16 €</c:v>
                  </c:pt>
                </c:lvl>
                <c:lvl>
                  <c:pt idx="0">
                    <c:v>9,952.80 €</c:v>
                  </c:pt>
                </c:lvl>
                <c:lvl>
                  <c:pt idx="0">
                    <c:v>10,450.44 €</c:v>
                  </c:pt>
                </c:lvl>
                <c:lvl>
                  <c:pt idx="0">
                    <c:v>10,948.08 €</c:v>
                  </c:pt>
                </c:lvl>
                <c:lvl>
                  <c:pt idx="0">
                    <c:v>11,445.72 €</c:v>
                  </c:pt>
                </c:lvl>
              </c:multiLvlStrCache>
            </c:multiLvlStrRef>
          </c:cat>
          <c:val>
            <c:numRef>
              <c:f>'📊 Evolución Deudas'!$N$23</c:f>
              <c:numCache>
                <c:formatCode>General</c:formatCode>
                <c:ptCount val="1"/>
              </c:numCache>
            </c:numRef>
          </c:val>
        </c:ser>
        <c:gapWidth val="150"/>
        <c:overlap val="100"/>
        <c:axId val="79984481"/>
        <c:axId val="2978220"/>
      </c:barChart>
      <c:catAx>
        <c:axId val="799844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8220"/>
        <c:crosses val="autoZero"/>
        <c:auto val="1"/>
        <c:lblAlgn val="ctr"/>
        <c:lblOffset val="100"/>
        <c:noMultiLvlLbl val="0"/>
      </c:catAx>
      <c:valAx>
        <c:axId val="2978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Saldo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844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156240</xdr:rowOff>
    </xdr:from>
    <xdr:to>
      <xdr:col>5</xdr:col>
      <xdr:colOff>261720</xdr:colOff>
      <xdr:row>64</xdr:row>
      <xdr:rowOff>52200</xdr:rowOff>
    </xdr:to>
    <xdr:graphicFrame>
      <xdr:nvGraphicFramePr>
        <xdr:cNvPr id="0" name="Chart 1"/>
        <xdr:cNvGraphicFramePr/>
      </xdr:nvGraphicFramePr>
      <xdr:xfrm>
        <a:off x="0" y="958212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78120</xdr:rowOff>
    </xdr:from>
    <xdr:to>
      <xdr:col>7</xdr:col>
      <xdr:colOff>290520</xdr:colOff>
      <xdr:row>51</xdr:row>
      <xdr:rowOff>163440</xdr:rowOff>
    </xdr:to>
    <xdr:graphicFrame>
      <xdr:nvGraphicFramePr>
        <xdr:cNvPr id="1" name="Chart 1"/>
        <xdr:cNvGraphicFramePr/>
      </xdr:nvGraphicFramePr>
      <xdr:xfrm>
        <a:off x="0" y="5745600"/>
        <a:ext cx="7198200" cy="50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25</xdr:row>
      <xdr:rowOff>78120</xdr:rowOff>
    </xdr:from>
    <xdr:to>
      <xdr:col>21</xdr:col>
      <xdr:colOff>380520</xdr:colOff>
      <xdr:row>51</xdr:row>
      <xdr:rowOff>163440</xdr:rowOff>
    </xdr:to>
    <xdr:graphicFrame>
      <xdr:nvGraphicFramePr>
        <xdr:cNvPr id="2" name="Chart 2"/>
        <xdr:cNvGraphicFramePr/>
      </xdr:nvGraphicFramePr>
      <xdr:xfrm>
        <a:off x="10290960" y="5745600"/>
        <a:ext cx="7198200" cy="50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25"/>
  </cols>
  <sheetData>
    <row r="1" customFormat="false" ht="31.5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5" hidden="false" customHeight="true" outlineLevel="0" collapsed="false">
      <c r="A4" s="5" t="s">
        <v>10</v>
      </c>
      <c r="B4" s="6" t="n">
        <v>7</v>
      </c>
      <c r="C4" s="7" t="n">
        <v>-708.33</v>
      </c>
      <c r="D4" s="5" t="s">
        <v>11</v>
      </c>
      <c r="E4" s="5" t="s">
        <v>12</v>
      </c>
      <c r="F4" s="8" t="s">
        <v>13</v>
      </c>
      <c r="G4" s="9"/>
      <c r="H4" s="5" t="s">
        <v>14</v>
      </c>
    </row>
    <row r="5" customFormat="false" ht="15" hidden="false" customHeight="true" outlineLevel="0" collapsed="false">
      <c r="A5" s="10" t="s">
        <v>15</v>
      </c>
      <c r="B5" s="11" t="n">
        <v>3</v>
      </c>
      <c r="C5" s="12" t="n">
        <v>-146.45</v>
      </c>
      <c r="D5" s="10" t="s">
        <v>11</v>
      </c>
      <c r="E5" s="10" t="s">
        <v>12</v>
      </c>
      <c r="F5" s="13" t="s">
        <v>13</v>
      </c>
      <c r="G5" s="9"/>
      <c r="H5" s="10" t="s">
        <v>16</v>
      </c>
    </row>
    <row r="6" customFormat="false" ht="15" hidden="false" customHeight="true" outlineLevel="0" collapsed="false">
      <c r="A6" s="14" t="s">
        <v>17</v>
      </c>
      <c r="B6" s="15" t="n">
        <v>1</v>
      </c>
      <c r="C6" s="16" t="n">
        <v>-490</v>
      </c>
      <c r="D6" s="14" t="s">
        <v>18</v>
      </c>
      <c r="E6" s="14" t="s">
        <v>19</v>
      </c>
      <c r="F6" s="17" t="s">
        <v>13</v>
      </c>
      <c r="G6" s="9"/>
      <c r="H6" s="14" t="s">
        <v>20</v>
      </c>
    </row>
    <row r="7" customFormat="false" ht="15" hidden="false" customHeight="true" outlineLevel="0" collapsed="false">
      <c r="A7" s="14" t="s">
        <v>21</v>
      </c>
      <c r="B7" s="15" t="n">
        <v>1</v>
      </c>
      <c r="C7" s="16" t="n">
        <v>-900</v>
      </c>
      <c r="D7" s="14" t="s">
        <v>18</v>
      </c>
      <c r="E7" s="14" t="s">
        <v>19</v>
      </c>
      <c r="F7" s="17" t="s">
        <v>13</v>
      </c>
      <c r="G7" s="9"/>
      <c r="H7" s="14" t="s">
        <v>20</v>
      </c>
    </row>
    <row r="8" customFormat="false" ht="15" hidden="false" customHeight="true" outlineLevel="0" collapsed="false">
      <c r="A8" s="5" t="s">
        <v>22</v>
      </c>
      <c r="B8" s="6" t="n">
        <v>5</v>
      </c>
      <c r="C8" s="7" t="n">
        <v>-497.64</v>
      </c>
      <c r="D8" s="5" t="s">
        <v>23</v>
      </c>
      <c r="E8" s="5" t="s">
        <v>12</v>
      </c>
      <c r="F8" s="8" t="s">
        <v>13</v>
      </c>
      <c r="G8" s="9"/>
      <c r="H8" s="5" t="s">
        <v>24</v>
      </c>
    </row>
    <row r="9" customFormat="false" ht="15" hidden="false" customHeight="true" outlineLevel="0" collapsed="false">
      <c r="A9" s="10" t="s">
        <v>25</v>
      </c>
      <c r="B9" s="11" t="n">
        <v>5</v>
      </c>
      <c r="C9" s="12" t="n">
        <v>-245.32</v>
      </c>
      <c r="D9" s="10" t="s">
        <v>23</v>
      </c>
      <c r="E9" s="10" t="s">
        <v>12</v>
      </c>
      <c r="F9" s="13" t="s">
        <v>13</v>
      </c>
      <c r="G9" s="9"/>
      <c r="H9" s="10" t="s">
        <v>24</v>
      </c>
    </row>
    <row r="10" customFormat="false" ht="15" hidden="false" customHeight="true" outlineLevel="0" collapsed="false">
      <c r="A10" s="10" t="s">
        <v>26</v>
      </c>
      <c r="B10" s="11" t="n">
        <v>5</v>
      </c>
      <c r="C10" s="12" t="n">
        <v>-20</v>
      </c>
      <c r="D10" s="10" t="s">
        <v>27</v>
      </c>
      <c r="E10" s="10" t="s">
        <v>12</v>
      </c>
      <c r="F10" s="13" t="s">
        <v>13</v>
      </c>
      <c r="G10" s="9"/>
      <c r="H10" s="10" t="s">
        <v>24</v>
      </c>
    </row>
    <row r="11" customFormat="false" ht="15" hidden="false" customHeight="true" outlineLevel="0" collapsed="false">
      <c r="A11" s="5" t="s">
        <v>28</v>
      </c>
      <c r="B11" s="6" t="n">
        <v>5</v>
      </c>
      <c r="C11" s="7" t="n">
        <v>-15</v>
      </c>
      <c r="D11" s="5" t="s">
        <v>27</v>
      </c>
      <c r="E11" s="5" t="s">
        <v>12</v>
      </c>
      <c r="F11" s="8" t="s">
        <v>13</v>
      </c>
      <c r="G11" s="9"/>
      <c r="H11" s="5" t="s">
        <v>24</v>
      </c>
    </row>
    <row r="12" customFormat="false" ht="15" hidden="false" customHeight="true" outlineLevel="0" collapsed="false">
      <c r="A12" s="10" t="s">
        <v>29</v>
      </c>
      <c r="B12" s="11" t="n">
        <v>4</v>
      </c>
      <c r="C12" s="12" t="n">
        <v>-24.99</v>
      </c>
      <c r="D12" s="10" t="s">
        <v>30</v>
      </c>
      <c r="E12" s="10" t="s">
        <v>12</v>
      </c>
      <c r="F12" s="13" t="s">
        <v>13</v>
      </c>
      <c r="G12" s="9"/>
      <c r="H12" s="10" t="s">
        <v>31</v>
      </c>
    </row>
    <row r="13" customFormat="false" ht="15" hidden="false" customHeight="true" outlineLevel="0" collapsed="false">
      <c r="A13" s="5" t="s">
        <v>32</v>
      </c>
      <c r="B13" s="6" t="n">
        <v>12</v>
      </c>
      <c r="C13" s="7" t="n">
        <v>-23</v>
      </c>
      <c r="D13" s="5" t="s">
        <v>33</v>
      </c>
      <c r="E13" s="5" t="s">
        <v>12</v>
      </c>
      <c r="F13" s="8" t="s">
        <v>13</v>
      </c>
      <c r="G13" s="9"/>
      <c r="H13" s="5" t="s">
        <v>34</v>
      </c>
    </row>
    <row r="14" customFormat="false" ht="15" hidden="false" customHeight="true" outlineLevel="0" collapsed="false">
      <c r="A14" s="14" t="s">
        <v>35</v>
      </c>
      <c r="B14" s="15" t="n">
        <v>1</v>
      </c>
      <c r="C14" s="16" t="n">
        <v>-17.5</v>
      </c>
      <c r="D14" s="14" t="s">
        <v>33</v>
      </c>
      <c r="E14" s="14" t="s">
        <v>12</v>
      </c>
      <c r="F14" s="17" t="s">
        <v>13</v>
      </c>
      <c r="G14" s="9"/>
      <c r="H14" s="14" t="s">
        <v>20</v>
      </c>
    </row>
    <row r="15" customFormat="false" ht="15" hidden="false" customHeight="true" outlineLevel="0" collapsed="false">
      <c r="A15" s="5" t="s">
        <v>36</v>
      </c>
      <c r="B15" s="6" t="n">
        <v>3</v>
      </c>
      <c r="C15" s="7" t="n">
        <v>-6.5</v>
      </c>
      <c r="D15" s="5" t="s">
        <v>33</v>
      </c>
      <c r="E15" s="5" t="s">
        <v>12</v>
      </c>
      <c r="F15" s="8" t="s">
        <v>13</v>
      </c>
      <c r="G15" s="9"/>
      <c r="H15" s="5" t="s">
        <v>16</v>
      </c>
    </row>
    <row r="16" customFormat="false" ht="15" hidden="false" customHeight="true" outlineLevel="0" collapsed="false">
      <c r="A16" s="10" t="s">
        <v>37</v>
      </c>
      <c r="B16" s="11" t="n">
        <v>10</v>
      </c>
      <c r="C16" s="12" t="n">
        <v>-6.99</v>
      </c>
      <c r="D16" s="10" t="s">
        <v>33</v>
      </c>
      <c r="E16" s="10" t="s">
        <v>12</v>
      </c>
      <c r="F16" s="13" t="s">
        <v>13</v>
      </c>
      <c r="G16" s="9"/>
      <c r="H16" s="10" t="s">
        <v>38</v>
      </c>
    </row>
    <row r="17" customFormat="false" ht="15" hidden="false" customHeight="true" outlineLevel="0" collapsed="false">
      <c r="A17" s="5" t="s">
        <v>39</v>
      </c>
      <c r="B17" s="6" t="n">
        <v>10</v>
      </c>
      <c r="C17" s="7" t="n">
        <v>-8.99</v>
      </c>
      <c r="D17" s="5" t="s">
        <v>40</v>
      </c>
      <c r="E17" s="5" t="s">
        <v>12</v>
      </c>
      <c r="F17" s="8" t="s">
        <v>13</v>
      </c>
      <c r="G17" s="9"/>
      <c r="H17" s="5" t="s">
        <v>38</v>
      </c>
    </row>
    <row r="18" customFormat="false" ht="15" hidden="false" customHeight="true" outlineLevel="0" collapsed="false">
      <c r="A18" s="10" t="s">
        <v>41</v>
      </c>
      <c r="B18" s="11" t="n">
        <v>17</v>
      </c>
      <c r="C18" s="12" t="n">
        <v>-20</v>
      </c>
      <c r="D18" s="10" t="s">
        <v>42</v>
      </c>
      <c r="E18" s="10" t="s">
        <v>43</v>
      </c>
      <c r="F18" s="13" t="s">
        <v>13</v>
      </c>
      <c r="G18" s="9"/>
      <c r="H18" s="10" t="s">
        <v>44</v>
      </c>
    </row>
    <row r="19" customFormat="false" ht="15" hidden="false" customHeight="true" outlineLevel="0" collapsed="false">
      <c r="A19" s="5" t="s">
        <v>45</v>
      </c>
      <c r="B19" s="6" t="n">
        <v>5</v>
      </c>
      <c r="C19" s="7" t="n">
        <v>-76.67</v>
      </c>
      <c r="D19" s="5" t="s">
        <v>46</v>
      </c>
      <c r="E19" s="5" t="s">
        <v>47</v>
      </c>
      <c r="F19" s="8" t="s">
        <v>13</v>
      </c>
      <c r="G19" s="9"/>
      <c r="H19" s="5" t="s">
        <v>24</v>
      </c>
    </row>
    <row r="20" customFormat="false" ht="15" hidden="false" customHeight="true" outlineLevel="0" collapsed="false">
      <c r="A20" s="14" t="s">
        <v>48</v>
      </c>
      <c r="B20" s="15" t="n">
        <v>1</v>
      </c>
      <c r="C20" s="16" t="n">
        <v>-9.99</v>
      </c>
      <c r="D20" s="14" t="s">
        <v>33</v>
      </c>
      <c r="E20" s="14" t="s">
        <v>12</v>
      </c>
      <c r="F20" s="17" t="s">
        <v>13</v>
      </c>
      <c r="G20" s="9"/>
      <c r="H20" s="14" t="s">
        <v>20</v>
      </c>
    </row>
    <row r="21" customFormat="false" ht="15" hidden="false" customHeight="true" outlineLevel="0" collapsed="false">
      <c r="A21" s="18" t="s">
        <v>49</v>
      </c>
      <c r="B21" s="19"/>
      <c r="C21" s="20" t="n">
        <f aca="false">SUM(B4:B20)</f>
        <v>95</v>
      </c>
      <c r="D21" s="19"/>
      <c r="E21" s="19"/>
      <c r="F21" s="19"/>
      <c r="G21" s="19"/>
      <c r="H21" s="19"/>
    </row>
    <row r="22" customFormat="false" ht="15" hidden="false" customHeight="true" outlineLevel="0" collapsed="false"/>
    <row r="23" customFormat="false" ht="18" hidden="false" customHeight="true" outlineLevel="0" collapsed="false"/>
    <row r="24" customFormat="false" ht="24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6" min="2" style="0" width="12"/>
  </cols>
  <sheetData>
    <row r="1" customFormat="false" ht="34.5" hidden="false" customHeight="true" outlineLevel="0" collapsed="false">
      <c r="A1" s="21" t="s">
        <v>50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customFormat="false" ht="18" hidden="false" customHeight="true" outlineLevel="0" collapsed="false">
      <c r="A2" s="22" t="s">
        <v>51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customFormat="false" ht="15" hidden="false" customHeight="false" outlineLevel="0" collapsed="false">
      <c r="A4" s="23" t="s">
        <v>5</v>
      </c>
      <c r="B4" s="23" t="s">
        <v>52</v>
      </c>
      <c r="C4" s="23" t="s">
        <v>53</v>
      </c>
      <c r="D4" s="23" t="s">
        <v>54</v>
      </c>
      <c r="E4" s="23" t="s">
        <v>55</v>
      </c>
      <c r="F4" s="23" t="s">
        <v>56</v>
      </c>
      <c r="G4" s="23" t="s">
        <v>57</v>
      </c>
      <c r="H4" s="23" t="s">
        <v>58</v>
      </c>
      <c r="I4" s="24" t="s">
        <v>59</v>
      </c>
      <c r="J4" s="24" t="s">
        <v>60</v>
      </c>
    </row>
    <row r="5" customFormat="false" ht="19.5" hidden="false" customHeight="true" outlineLevel="0" collapsed="false">
      <c r="A5" s="25" t="s">
        <v>61</v>
      </c>
      <c r="B5" s="26" t="n">
        <v>-179.58</v>
      </c>
      <c r="C5" s="26" t="n">
        <v>-418.68</v>
      </c>
      <c r="D5" s="26" t="n">
        <v>-240.78</v>
      </c>
      <c r="E5" s="26" t="n">
        <v>-196.17</v>
      </c>
      <c r="F5" s="26" t="n">
        <v>-270.92</v>
      </c>
      <c r="G5" s="26" t="n">
        <v>-200</v>
      </c>
      <c r="H5" s="26" t="n">
        <v>-250</v>
      </c>
      <c r="I5" s="27" t="n">
        <f aca="false">SUM(B5:H5)</f>
        <v>-1756.13</v>
      </c>
      <c r="J5" s="28" t="n">
        <f aca="false">I5/SUM(I$5:I$14)</f>
        <v>0.456275137444009</v>
      </c>
    </row>
    <row r="6" customFormat="false" ht="19.5" hidden="false" customHeight="true" outlineLevel="0" collapsed="false">
      <c r="A6" s="29" t="s">
        <v>62</v>
      </c>
      <c r="B6" s="30" t="n">
        <v>-78.59</v>
      </c>
      <c r="C6" s="30" t="n">
        <v>-48.2</v>
      </c>
      <c r="D6" s="30" t="n">
        <v>-99.57</v>
      </c>
      <c r="E6" s="30" t="n">
        <v>-17.4</v>
      </c>
      <c r="F6" s="30" t="n">
        <v>-41.7</v>
      </c>
      <c r="G6" s="30" t="n">
        <v>-25.15</v>
      </c>
      <c r="H6" s="30" t="n">
        <v>-65</v>
      </c>
      <c r="I6" s="31" t="n">
        <f aca="false">SUM(B6:H6)</f>
        <v>-375.61</v>
      </c>
      <c r="J6" s="32" t="n">
        <f aca="false">I6/SUM(I$5:I$14)</f>
        <v>0.0975904428347242</v>
      </c>
    </row>
    <row r="7" customFormat="false" ht="19.5" hidden="false" customHeight="true" outlineLevel="0" collapsed="false">
      <c r="A7" s="33" t="s">
        <v>63</v>
      </c>
      <c r="B7" s="34" t="n">
        <v>-15.5</v>
      </c>
      <c r="C7" s="34" t="n">
        <v>-12.89</v>
      </c>
      <c r="D7" s="34" t="n">
        <v>-53.15</v>
      </c>
      <c r="E7" s="34" t="n">
        <v>-20.4</v>
      </c>
      <c r="F7" s="34" t="n">
        <v>-39</v>
      </c>
      <c r="G7" s="34" t="n">
        <v>-6</v>
      </c>
      <c r="H7" s="34" t="n">
        <v>-10</v>
      </c>
      <c r="I7" s="35" t="n">
        <f aca="false">SUM(B7:H7)</f>
        <v>-156.94</v>
      </c>
      <c r="J7" s="36" t="n">
        <f aca="false">I7/SUM(I$5:I$14)</f>
        <v>0.0407759220960081</v>
      </c>
    </row>
    <row r="8" customFormat="false" ht="19.5" hidden="false" customHeight="true" outlineLevel="0" collapsed="false">
      <c r="A8" s="37" t="s">
        <v>64</v>
      </c>
      <c r="B8" s="38" t="n">
        <v>-106.55</v>
      </c>
      <c r="C8" s="38" t="n">
        <v>-126.16</v>
      </c>
      <c r="D8" s="38" t="n">
        <v>-313.06</v>
      </c>
      <c r="E8" s="38" t="n">
        <v>-89.16</v>
      </c>
      <c r="F8" s="38" t="n">
        <v>-99.77</v>
      </c>
      <c r="G8" s="38" t="n">
        <v>-115</v>
      </c>
      <c r="H8" s="38" t="n">
        <v>-110</v>
      </c>
      <c r="I8" s="39" t="n">
        <f aca="false">SUM(B8:H8)</f>
        <v>-959.7</v>
      </c>
      <c r="J8" s="40" t="n">
        <f aca="false">I8/SUM(I$5:I$14)</f>
        <v>0.249347855457748</v>
      </c>
    </row>
    <row r="9" customFormat="false" ht="19.5" hidden="false" customHeight="true" outlineLevel="0" collapsed="false">
      <c r="A9" s="41" t="s">
        <v>65</v>
      </c>
      <c r="B9" s="42" t="n">
        <v>-71.25</v>
      </c>
      <c r="C9" s="43"/>
      <c r="D9" s="43"/>
      <c r="E9" s="43"/>
      <c r="F9" s="42" t="n">
        <v>-5.39</v>
      </c>
      <c r="G9" s="42" t="n">
        <v>-13.97</v>
      </c>
      <c r="H9" s="42" t="n">
        <v>-115.57</v>
      </c>
      <c r="I9" s="44" t="n">
        <f aca="false">SUM(B9:H9)</f>
        <v>-206.18</v>
      </c>
      <c r="J9" s="45" t="n">
        <f aca="false">I9/SUM(I$5:I$14)</f>
        <v>0.0535693871400214</v>
      </c>
    </row>
    <row r="10" customFormat="false" ht="19.5" hidden="false" customHeight="true" outlineLevel="0" collapsed="false">
      <c r="A10" s="46" t="s">
        <v>66</v>
      </c>
      <c r="B10" s="43"/>
      <c r="C10" s="47" t="n">
        <v>-12.3</v>
      </c>
      <c r="D10" s="47" t="n">
        <v>-60.19</v>
      </c>
      <c r="E10" s="47" t="n">
        <v>-16.58</v>
      </c>
      <c r="F10" s="47" t="n">
        <v>-36.2</v>
      </c>
      <c r="G10" s="47" t="n">
        <v>-11</v>
      </c>
      <c r="H10" s="47" t="n">
        <v>-17.55</v>
      </c>
      <c r="I10" s="48" t="n">
        <f aca="false">SUM(B10:H10)</f>
        <v>-153.82</v>
      </c>
      <c r="J10" s="49" t="n">
        <f aca="false">I10/SUM(I$5:I$14)</f>
        <v>0.0399652882426913</v>
      </c>
    </row>
    <row r="11" customFormat="false" ht="19.5" hidden="false" customHeight="true" outlineLevel="0" collapsed="false">
      <c r="A11" s="50" t="s">
        <v>67</v>
      </c>
      <c r="B11" s="51" t="n">
        <v>-2.4</v>
      </c>
      <c r="C11" s="51" t="n">
        <v>-5.6</v>
      </c>
      <c r="D11" s="51" t="n">
        <v>-69.2</v>
      </c>
      <c r="E11" s="51" t="n">
        <v>-28.9</v>
      </c>
      <c r="F11" s="51" t="n">
        <v>-13.25</v>
      </c>
      <c r="G11" s="43"/>
      <c r="H11" s="43"/>
      <c r="I11" s="52" t="n">
        <f aca="false">SUM(B11:H11)</f>
        <v>-119.35</v>
      </c>
      <c r="J11" s="53" t="n">
        <f aca="false">I11/SUM(I$5:I$14)</f>
        <v>0.0310093430747966</v>
      </c>
    </row>
    <row r="12" customFormat="false" ht="19.5" hidden="false" customHeight="true" outlineLevel="0" collapsed="false">
      <c r="A12" s="54" t="s">
        <v>68</v>
      </c>
      <c r="B12" s="43"/>
      <c r="C12" s="43"/>
      <c r="D12" s="43"/>
      <c r="E12" s="43"/>
      <c r="F12" s="47" t="n">
        <v>-7</v>
      </c>
      <c r="G12" s="43"/>
      <c r="H12" s="47" t="n">
        <v>-15</v>
      </c>
      <c r="I12" s="48" t="n">
        <f aca="false">SUM(B12:H12)</f>
        <v>-22</v>
      </c>
      <c r="J12" s="55" t="n">
        <f aca="false">I12/SUM(I$5:I$14)</f>
        <v>0.00571600794005467</v>
      </c>
    </row>
    <row r="13" customFormat="false" ht="19.5" hidden="false" customHeight="true" outlineLevel="0" collapsed="false">
      <c r="A13" s="56" t="s">
        <v>69</v>
      </c>
      <c r="B13" s="43"/>
      <c r="C13" s="43"/>
      <c r="D13" s="43"/>
      <c r="E13" s="43"/>
      <c r="F13" s="57" t="n">
        <v>-20</v>
      </c>
      <c r="G13" s="43"/>
      <c r="H13" s="43"/>
      <c r="I13" s="58" t="n">
        <f aca="false">SUM(B13:H13)</f>
        <v>-20</v>
      </c>
      <c r="J13" s="59" t="n">
        <f aca="false">I13/SUM(I$5:I$14)</f>
        <v>0.00519637085459515</v>
      </c>
    </row>
    <row r="14" customFormat="false" ht="19.5" hidden="false" customHeight="true" outlineLevel="0" collapsed="false">
      <c r="A14" s="60" t="s">
        <v>70</v>
      </c>
      <c r="B14" s="43"/>
      <c r="C14" s="43"/>
      <c r="D14" s="43"/>
      <c r="E14" s="61" t="n">
        <v>-27</v>
      </c>
      <c r="F14" s="61" t="n">
        <v>-33.64</v>
      </c>
      <c r="G14" s="61" t="n">
        <v>-9.38</v>
      </c>
      <c r="H14" s="61" t="n">
        <v>-9.09</v>
      </c>
      <c r="I14" s="62" t="n">
        <f aca="false">SUM(B14:H14)</f>
        <v>-79.11</v>
      </c>
      <c r="J14" s="63" t="n">
        <f aca="false">I14/SUM(I$5:I$14)</f>
        <v>0.0205542449153511</v>
      </c>
    </row>
    <row r="15" customFormat="false" ht="21.75" hidden="false" customHeight="true" outlineLevel="0" collapsed="false">
      <c r="A15" s="64" t="s">
        <v>71</v>
      </c>
      <c r="B15" s="65" t="n">
        <f aca="false">SUM(B5:B14)</f>
        <v>-453.87</v>
      </c>
      <c r="C15" s="65" t="n">
        <f aca="false">SUM(C5:C14)</f>
        <v>-623.83</v>
      </c>
      <c r="D15" s="65" t="n">
        <f aca="false">SUM(D5:D14)</f>
        <v>-835.95</v>
      </c>
      <c r="E15" s="65" t="n">
        <f aca="false">SUM(E5:E14)</f>
        <v>-395.61</v>
      </c>
      <c r="F15" s="65" t="n">
        <f aca="false">SUM(F5:F14)</f>
        <v>-566.87</v>
      </c>
      <c r="G15" s="65" t="n">
        <f aca="false">SUM(G5:G14)</f>
        <v>-380.5</v>
      </c>
      <c r="H15" s="65" t="n">
        <f aca="false">SUM(H5:H14)</f>
        <v>-592.21</v>
      </c>
      <c r="I15" s="66"/>
      <c r="J15" s="64" t="s">
        <v>72</v>
      </c>
    </row>
    <row r="18" customFormat="false" ht="27.75" hidden="false" customHeight="true" outlineLevel="0" collapsed="false">
      <c r="A18" s="67" t="s">
        <v>73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</row>
    <row r="19" customFormat="false" ht="23.85" hidden="false" customHeight="false" outlineLevel="0" collapsed="false">
      <c r="A19" s="68" t="s">
        <v>74</v>
      </c>
      <c r="B19" s="68" t="s">
        <v>75</v>
      </c>
      <c r="C19" s="68" t="s">
        <v>76</v>
      </c>
      <c r="D19" s="68" t="s">
        <v>77</v>
      </c>
      <c r="E19" s="68" t="s">
        <v>78</v>
      </c>
      <c r="F19" s="68" t="s">
        <v>79</v>
      </c>
      <c r="G19" s="68" t="s">
        <v>80</v>
      </c>
      <c r="H19" s="68" t="s">
        <v>52</v>
      </c>
      <c r="I19" s="68" t="s">
        <v>53</v>
      </c>
      <c r="J19" s="68" t="s">
        <v>54</v>
      </c>
      <c r="K19" s="68" t="s">
        <v>55</v>
      </c>
      <c r="L19" s="68" t="s">
        <v>56</v>
      </c>
      <c r="M19" s="68" t="s">
        <v>57</v>
      </c>
      <c r="N19" s="68" t="s">
        <v>58</v>
      </c>
      <c r="O19" s="69" t="s">
        <v>81</v>
      </c>
    </row>
    <row r="20" customFormat="false" ht="19.5" hidden="false" customHeight="true" outlineLevel="0" collapsed="false">
      <c r="A20" s="25" t="s">
        <v>82</v>
      </c>
      <c r="B20" s="26" t="n">
        <v>-2251.11</v>
      </c>
      <c r="C20" s="26" t="n">
        <v>-1447.46</v>
      </c>
      <c r="D20" s="26" t="n">
        <v>-1588.6</v>
      </c>
      <c r="E20" s="26" t="n">
        <v>-1525.27</v>
      </c>
      <c r="F20" s="26" t="n">
        <v>-1248.3</v>
      </c>
      <c r="G20" s="26" t="n">
        <v>-542.67</v>
      </c>
      <c r="H20" s="26" t="n">
        <v>-1487.5</v>
      </c>
      <c r="I20" s="26" t="n">
        <v>-1487.5</v>
      </c>
      <c r="J20" s="26" t="n">
        <v>-1503.45</v>
      </c>
      <c r="K20" s="26" t="n">
        <v>-1398.73</v>
      </c>
      <c r="L20" s="26" t="n">
        <v>-1277.63</v>
      </c>
      <c r="M20" s="26" t="n">
        <v>-1414.82</v>
      </c>
      <c r="N20" s="26" t="n">
        <v>-1454.6</v>
      </c>
      <c r="O20" s="27" t="n">
        <f aca="false">SUM(B20:N20)</f>
        <v>-18627.64</v>
      </c>
    </row>
    <row r="21" customFormat="false" ht="19.5" hidden="false" customHeight="true" outlineLevel="0" collapsed="false">
      <c r="A21" s="29" t="s">
        <v>83</v>
      </c>
      <c r="B21" s="43"/>
      <c r="C21" s="30" t="n">
        <v>-708.33</v>
      </c>
      <c r="D21" s="30" t="n">
        <v>-854.78</v>
      </c>
      <c r="E21" s="30" t="n">
        <v>-854.78</v>
      </c>
      <c r="F21" s="30" t="n">
        <v>-854.78</v>
      </c>
      <c r="G21" s="30" t="n">
        <v>-854.78</v>
      </c>
      <c r="H21" s="30" t="n">
        <v>-708.33</v>
      </c>
      <c r="I21" s="30" t="n">
        <v>-712.17</v>
      </c>
      <c r="J21" s="30" t="n">
        <v>-708.33</v>
      </c>
      <c r="K21" s="30" t="n">
        <v>-708.33</v>
      </c>
      <c r="L21" s="30" t="n">
        <v>-708.48</v>
      </c>
      <c r="M21" s="30" t="n">
        <v>-708.33</v>
      </c>
      <c r="N21" s="30" t="n">
        <v>-708.33</v>
      </c>
      <c r="O21" s="31" t="n">
        <f aca="false">SUM(B21:N21)</f>
        <v>-9089.75</v>
      </c>
    </row>
    <row r="22" customFormat="false" ht="19.5" hidden="false" customHeight="true" outlineLevel="0" collapsed="false">
      <c r="A22" s="33" t="s">
        <v>84</v>
      </c>
      <c r="B22" s="34" t="n">
        <v>-707.55</v>
      </c>
      <c r="C22" s="34" t="n">
        <v>-772.65</v>
      </c>
      <c r="D22" s="34" t="n">
        <v>-772.65</v>
      </c>
      <c r="E22" s="34" t="n">
        <v>-902.91</v>
      </c>
      <c r="F22" s="34" t="n">
        <v>-1252.58</v>
      </c>
      <c r="G22" s="34" t="n">
        <v>-854.04</v>
      </c>
      <c r="H22" s="34" t="n">
        <v>-10</v>
      </c>
      <c r="I22" s="43"/>
      <c r="J22" s="43"/>
      <c r="K22" s="43"/>
      <c r="L22" s="43"/>
      <c r="M22" s="43"/>
      <c r="N22" s="43"/>
      <c r="O22" s="35" t="n">
        <f aca="false">SUM(B22:N22)</f>
        <v>-5272.38</v>
      </c>
    </row>
    <row r="23" customFormat="false" ht="19.5" hidden="false" customHeight="true" outlineLevel="0" collapsed="false">
      <c r="A23" s="37" t="s">
        <v>85</v>
      </c>
      <c r="B23" s="43"/>
      <c r="C23" s="43"/>
      <c r="D23" s="43"/>
      <c r="E23" s="38" t="n">
        <v>-546</v>
      </c>
      <c r="F23" s="38" t="n">
        <v>-547.16</v>
      </c>
      <c r="G23" s="38" t="n">
        <v>-547.16</v>
      </c>
      <c r="H23" s="38" t="n">
        <v>-188.79</v>
      </c>
      <c r="I23" s="38" t="n">
        <v>-742.96</v>
      </c>
      <c r="J23" s="38" t="n">
        <v>-742.96</v>
      </c>
      <c r="K23" s="38" t="n">
        <v>-742.96</v>
      </c>
      <c r="L23" s="38" t="n">
        <v>-742.96</v>
      </c>
      <c r="M23" s="38" t="n">
        <v>-742.96</v>
      </c>
      <c r="N23" s="38" t="n">
        <v>-742.96</v>
      </c>
      <c r="O23" s="39" t="n">
        <f aca="false">SUM(B23:N23)</f>
        <v>-6286.87</v>
      </c>
    </row>
    <row r="24" customFormat="false" ht="19.5" hidden="false" customHeight="true" outlineLevel="0" collapsed="false">
      <c r="A24" s="41" t="s">
        <v>86</v>
      </c>
      <c r="B24" s="42" t="n">
        <v>-39.78</v>
      </c>
      <c r="C24" s="42" t="n">
        <v>-34.68</v>
      </c>
      <c r="D24" s="42" t="n">
        <v>-39.64</v>
      </c>
      <c r="E24" s="42" t="n">
        <v>-39.28</v>
      </c>
      <c r="F24" s="42" t="n">
        <v>-39.28</v>
      </c>
      <c r="G24" s="42" t="n">
        <v>-39.09</v>
      </c>
      <c r="H24" s="42" t="n">
        <v>-32.26</v>
      </c>
      <c r="I24" s="42" t="n">
        <v>-32.26</v>
      </c>
      <c r="J24" s="42" t="n">
        <v>-32.11</v>
      </c>
      <c r="K24" s="42" t="n">
        <v>-35.32</v>
      </c>
      <c r="L24" s="42" t="n">
        <v>-35.16</v>
      </c>
      <c r="M24" s="42" t="n">
        <v>-34.99</v>
      </c>
      <c r="N24" s="42" t="n">
        <v>-34.84</v>
      </c>
      <c r="O24" s="44" t="n">
        <f aca="false">SUM(B24:N24)</f>
        <v>-468.69</v>
      </c>
    </row>
    <row r="25" customFormat="false" ht="19.5" hidden="false" customHeight="true" outlineLevel="0" collapsed="false">
      <c r="A25" s="56" t="s">
        <v>87</v>
      </c>
      <c r="B25" s="57" t="n">
        <v>-465</v>
      </c>
      <c r="C25" s="57" t="n">
        <v>-615</v>
      </c>
      <c r="D25" s="57" t="n">
        <v>-298</v>
      </c>
      <c r="E25" s="57" t="n">
        <v>-315</v>
      </c>
      <c r="F25" s="57" t="n">
        <v>-1983.52</v>
      </c>
      <c r="G25" s="57" t="n">
        <v>-1750</v>
      </c>
      <c r="H25" s="57" t="n">
        <v>-354.9</v>
      </c>
      <c r="I25" s="57" t="n">
        <v>-20</v>
      </c>
      <c r="J25" s="57" t="n">
        <v>-853</v>
      </c>
      <c r="K25" s="57" t="n">
        <v>-1600</v>
      </c>
      <c r="L25" s="57" t="n">
        <v>-114.39</v>
      </c>
      <c r="M25" s="57" t="n">
        <v>-2245</v>
      </c>
      <c r="N25" s="57" t="n">
        <v>-599</v>
      </c>
      <c r="O25" s="58" t="n">
        <f aca="false">SUM(B25:N25)</f>
        <v>-11212.81</v>
      </c>
    </row>
    <row r="26" customFormat="false" ht="19.5" hidden="false" customHeight="true" outlineLevel="0" collapsed="false">
      <c r="A26" s="60" t="s">
        <v>88</v>
      </c>
      <c r="B26" s="61" t="n">
        <v>-104.03</v>
      </c>
      <c r="C26" s="61" t="n">
        <v>-77.1</v>
      </c>
      <c r="D26" s="61" t="n">
        <v>-60.65</v>
      </c>
      <c r="E26" s="61" t="n">
        <v>-162.34</v>
      </c>
      <c r="F26" s="61" t="n">
        <v>-30.74</v>
      </c>
      <c r="G26" s="61" t="n">
        <v>-100.77</v>
      </c>
      <c r="H26" s="61" t="n">
        <v>-9.9</v>
      </c>
      <c r="I26" s="61" t="n">
        <v>-9.04</v>
      </c>
      <c r="J26" s="61" t="n">
        <v>-94.5</v>
      </c>
      <c r="K26" s="61" t="n">
        <v>-43.46</v>
      </c>
      <c r="L26" s="61" t="n">
        <v>-109.44</v>
      </c>
      <c r="M26" s="61" t="n">
        <v>-93.64</v>
      </c>
      <c r="N26" s="61" t="n">
        <v>-0.02</v>
      </c>
      <c r="O26" s="62" t="n">
        <f aca="false">SUM(B26:N26)</f>
        <v>-895.63</v>
      </c>
    </row>
    <row r="27" customFormat="false" ht="21.75" hidden="false" customHeight="true" outlineLevel="0" collapsed="false">
      <c r="A27" s="64" t="s">
        <v>89</v>
      </c>
      <c r="B27" s="65" t="n">
        <f aca="false">SUM(B20:B26)</f>
        <v>-3567.47</v>
      </c>
      <c r="C27" s="65" t="n">
        <f aca="false">SUM(C20:C26)</f>
        <v>-3655.22</v>
      </c>
      <c r="D27" s="65" t="n">
        <f aca="false">SUM(D20:D26)</f>
        <v>-3614.32</v>
      </c>
      <c r="E27" s="65" t="n">
        <f aca="false">SUM(E20:E26)</f>
        <v>-4345.58</v>
      </c>
      <c r="F27" s="65" t="n">
        <f aca="false">SUM(F20:F26)</f>
        <v>-5956.36</v>
      </c>
      <c r="G27" s="65" t="n">
        <f aca="false">SUM(G20:G26)</f>
        <v>-4688.51</v>
      </c>
      <c r="H27" s="65" t="n">
        <f aca="false">SUM(H20:H26)</f>
        <v>-2791.68</v>
      </c>
      <c r="I27" s="65" t="n">
        <f aca="false">SUM(I20:I26)</f>
        <v>-3003.93</v>
      </c>
      <c r="J27" s="65" t="n">
        <f aca="false">SUM(J20:J26)</f>
        <v>-3934.35</v>
      </c>
      <c r="K27" s="65" t="n">
        <f aca="false">SUM(K20:K26)</f>
        <v>-4528.8</v>
      </c>
      <c r="L27" s="65" t="n">
        <f aca="false">SUM(L20:L26)</f>
        <v>-2988.06</v>
      </c>
      <c r="M27" s="65" t="n">
        <f aca="false">SUM(M20:M26)</f>
        <v>-5239.74</v>
      </c>
      <c r="N27" s="65" t="n">
        <f aca="false">SUM(N20:N26)</f>
        <v>-3539.75</v>
      </c>
      <c r="O27" s="65" t="n">
        <f aca="false">SUM(O20:O26)</f>
        <v>-51853.77</v>
      </c>
    </row>
    <row r="30" customFormat="false" ht="27.75" hidden="false" customHeight="true" outlineLevel="0" collapsed="false">
      <c r="A30" s="70" t="s">
        <v>90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</row>
    <row r="31" customFormat="false" ht="23.85" hidden="false" customHeight="false" outlineLevel="0" collapsed="false">
      <c r="A31" s="71" t="s">
        <v>91</v>
      </c>
      <c r="B31" s="71" t="s">
        <v>75</v>
      </c>
      <c r="C31" s="71" t="s">
        <v>76</v>
      </c>
      <c r="D31" s="71" t="s">
        <v>77</v>
      </c>
      <c r="E31" s="71" t="s">
        <v>78</v>
      </c>
      <c r="F31" s="71" t="s">
        <v>79</v>
      </c>
      <c r="G31" s="71" t="s">
        <v>80</v>
      </c>
      <c r="H31" s="71" t="s">
        <v>52</v>
      </c>
      <c r="I31" s="71" t="s">
        <v>53</v>
      </c>
      <c r="J31" s="71" t="s">
        <v>54</v>
      </c>
      <c r="K31" s="71" t="s">
        <v>55</v>
      </c>
      <c r="L31" s="71" t="s">
        <v>56</v>
      </c>
      <c r="M31" s="71" t="s">
        <v>57</v>
      </c>
      <c r="N31" s="71" t="s">
        <v>58</v>
      </c>
      <c r="O31" s="72" t="s">
        <v>81</v>
      </c>
    </row>
    <row r="32" customFormat="false" ht="19.5" hidden="false" customHeight="true" outlineLevel="0" collapsed="false">
      <c r="A32" s="73" t="s">
        <v>92</v>
      </c>
      <c r="B32" s="74" t="n">
        <v>2472.57</v>
      </c>
      <c r="C32" s="74" t="n">
        <v>2718.19</v>
      </c>
      <c r="D32" s="74" t="n">
        <v>1726.17</v>
      </c>
      <c r="E32" s="74" t="n">
        <v>104.48</v>
      </c>
      <c r="F32" s="74" t="n">
        <v>2138.16</v>
      </c>
      <c r="G32" s="74" t="n">
        <v>4103.67</v>
      </c>
      <c r="H32" s="74" t="n">
        <v>2201.06</v>
      </c>
      <c r="I32" s="74" t="n">
        <v>2616.47</v>
      </c>
      <c r="J32" s="74" t="n">
        <v>2308.07</v>
      </c>
      <c r="K32" s="74" t="n">
        <v>2150.48</v>
      </c>
      <c r="L32" s="74" t="n">
        <v>2058.17</v>
      </c>
      <c r="M32" s="74" t="n">
        <v>4490.72</v>
      </c>
      <c r="N32" s="74" t="n">
        <v>2371.47</v>
      </c>
      <c r="O32" s="75" t="n">
        <f aca="false">SUM(B32:N32)</f>
        <v>31459.68</v>
      </c>
    </row>
    <row r="33" customFormat="false" ht="19.5" hidden="false" customHeight="true" outlineLevel="0" collapsed="false">
      <c r="A33" s="76" t="s">
        <v>93</v>
      </c>
      <c r="B33" s="77" t="n">
        <v>1680</v>
      </c>
      <c r="C33" s="77" t="n">
        <v>650</v>
      </c>
      <c r="D33" s="77" t="n">
        <v>1050</v>
      </c>
      <c r="E33" s="77" t="n">
        <v>1609</v>
      </c>
      <c r="F33" s="77" t="n">
        <v>390</v>
      </c>
      <c r="G33" s="77" t="n">
        <v>1899</v>
      </c>
      <c r="H33" s="77" t="n">
        <v>210</v>
      </c>
      <c r="I33" s="77" t="n">
        <v>210</v>
      </c>
      <c r="J33" s="77" t="n">
        <v>560</v>
      </c>
      <c r="K33" s="43"/>
      <c r="L33" s="77" t="n">
        <v>670</v>
      </c>
      <c r="M33" s="77" t="n">
        <v>1470</v>
      </c>
      <c r="N33" s="77" t="n">
        <v>1200</v>
      </c>
      <c r="O33" s="78" t="n">
        <f aca="false">SUM(B33:N33)</f>
        <v>11598</v>
      </c>
    </row>
    <row r="34" customFormat="false" ht="19.5" hidden="false" customHeight="true" outlineLevel="0" collapsed="false">
      <c r="A34" s="79" t="s">
        <v>94</v>
      </c>
      <c r="B34" s="43"/>
      <c r="C34" s="43"/>
      <c r="D34" s="43"/>
      <c r="E34" s="80" t="n">
        <v>5</v>
      </c>
      <c r="F34" s="80" t="n">
        <v>1000</v>
      </c>
      <c r="G34" s="80" t="n">
        <v>333</v>
      </c>
      <c r="H34" s="80" t="n">
        <v>100</v>
      </c>
      <c r="I34" s="43"/>
      <c r="J34" s="80" t="n">
        <v>70.55</v>
      </c>
      <c r="K34" s="80" t="n">
        <v>10</v>
      </c>
      <c r="L34" s="80" t="n">
        <v>200</v>
      </c>
      <c r="M34" s="80" t="n">
        <v>5</v>
      </c>
      <c r="N34" s="43"/>
      <c r="O34" s="81" t="n">
        <f aca="false">SUM(B34:N34)</f>
        <v>1723.55</v>
      </c>
    </row>
    <row r="35" customFormat="false" ht="19.5" hidden="false" customHeight="true" outlineLevel="0" collapsed="false">
      <c r="A35" s="82" t="s">
        <v>95</v>
      </c>
      <c r="B35" s="43"/>
      <c r="C35" s="43"/>
      <c r="D35" s="43"/>
      <c r="E35" s="43"/>
      <c r="F35" s="83" t="n">
        <v>173.79</v>
      </c>
      <c r="G35" s="43"/>
      <c r="H35" s="43"/>
      <c r="I35" s="83" t="n">
        <v>508.82</v>
      </c>
      <c r="J35" s="83" t="n">
        <v>504.63</v>
      </c>
      <c r="K35" s="83" t="n">
        <v>478.25</v>
      </c>
      <c r="L35" s="83" t="n">
        <v>472.93</v>
      </c>
      <c r="M35" s="83" t="n">
        <v>498.3</v>
      </c>
      <c r="N35" s="83" t="n">
        <v>493.82</v>
      </c>
      <c r="O35" s="84" t="n">
        <f aca="false">SUM(B35:N35)</f>
        <v>3130.54</v>
      </c>
    </row>
    <row r="36" customFormat="false" ht="21.75" hidden="false" customHeight="true" outlineLevel="0" collapsed="false">
      <c r="A36" s="85" t="s">
        <v>96</v>
      </c>
      <c r="B36" s="86" t="n">
        <f aca="false">SUM(B32:B35)</f>
        <v>4152.57</v>
      </c>
      <c r="C36" s="86" t="n">
        <f aca="false">SUM(C32:C35)</f>
        <v>3368.19</v>
      </c>
      <c r="D36" s="86" t="n">
        <f aca="false">SUM(D32:D35)</f>
        <v>2776.17</v>
      </c>
      <c r="E36" s="86" t="n">
        <f aca="false">SUM(E32:E35)</f>
        <v>1718.48</v>
      </c>
      <c r="F36" s="86" t="n">
        <f aca="false">SUM(F32:F35)</f>
        <v>3701.95</v>
      </c>
      <c r="G36" s="86" t="n">
        <f aca="false">SUM(G32:G35)</f>
        <v>6335.67</v>
      </c>
      <c r="H36" s="86" t="n">
        <f aca="false">SUM(H32:H35)</f>
        <v>2511.06</v>
      </c>
      <c r="I36" s="86" t="n">
        <f aca="false">SUM(I32:I35)</f>
        <v>3335.29</v>
      </c>
      <c r="J36" s="86" t="n">
        <f aca="false">SUM(J32:J35)</f>
        <v>3443.25</v>
      </c>
      <c r="K36" s="86" t="n">
        <f aca="false">SUM(K32:K35)</f>
        <v>2638.73</v>
      </c>
      <c r="L36" s="86" t="n">
        <f aca="false">SUM(L32:L35)</f>
        <v>3401.1</v>
      </c>
      <c r="M36" s="86" t="n">
        <f aca="false">SUM(M32:M35)</f>
        <v>6464.02</v>
      </c>
      <c r="N36" s="86" t="n">
        <f aca="false">SUM(N32:N35)</f>
        <v>4065.29</v>
      </c>
      <c r="O36" s="86" t="n">
        <f aca="false">SUM(O32:O35)</f>
        <v>47911.77</v>
      </c>
    </row>
    <row r="37" customFormat="false" ht="21.75" hidden="false" customHeight="true" outlineLevel="0" collapsed="false">
      <c r="A37" s="87" t="s">
        <v>97</v>
      </c>
      <c r="B37" s="88" t="n">
        <f aca="false">B36+B27</f>
        <v>585.1</v>
      </c>
      <c r="C37" s="88" t="n">
        <f aca="false">C36+C27</f>
        <v>-287.03</v>
      </c>
      <c r="D37" s="88" t="n">
        <f aca="false">D36+D27</f>
        <v>-838.15</v>
      </c>
      <c r="E37" s="88" t="n">
        <f aca="false">E36+E27</f>
        <v>-2627.1</v>
      </c>
      <c r="F37" s="88" t="n">
        <f aca="false">F36+F27</f>
        <v>-2254.41</v>
      </c>
      <c r="G37" s="88" t="n">
        <f aca="false">G36+G27</f>
        <v>1647.16</v>
      </c>
      <c r="H37" s="88" t="n">
        <f aca="false">H36+H27</f>
        <v>-280.62</v>
      </c>
      <c r="I37" s="88" t="n">
        <f aca="false">I36+I27</f>
        <v>331.36</v>
      </c>
      <c r="J37" s="88" t="n">
        <f aca="false">J36+J27</f>
        <v>-491.1</v>
      </c>
      <c r="K37" s="88" t="n">
        <f aca="false">K36+K27</f>
        <v>-1890.07</v>
      </c>
      <c r="L37" s="88" t="n">
        <f aca="false">L36+L27</f>
        <v>413.04</v>
      </c>
      <c r="M37" s="88" t="n">
        <f aca="false">M36+M27</f>
        <v>1224.28</v>
      </c>
      <c r="N37" s="88" t="n">
        <f aca="false">N36+N27</f>
        <v>525.54</v>
      </c>
      <c r="O37" s="88" t="n">
        <f aca="false">O36+O27</f>
        <v>-3941.99999999999</v>
      </c>
    </row>
  </sheetData>
  <mergeCells count="4">
    <mergeCell ref="A1:P1"/>
    <mergeCell ref="A2:P2"/>
    <mergeCell ref="A18:P18"/>
    <mergeCell ref="A30:P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14" min="3" style="1" width="11"/>
  </cols>
  <sheetData>
    <row r="1" customFormat="false" ht="34.5" hidden="false" customHeight="true" outlineLevel="0" collapsed="false">
      <c r="A1" s="89" t="s">
        <v>98</v>
      </c>
    </row>
    <row r="2" customFormat="false" ht="15" hidden="false" customHeight="true" outlineLevel="0" collapsed="false">
      <c r="A2" s="90" t="s">
        <v>99</v>
      </c>
    </row>
    <row r="4" customFormat="false" ht="15" hidden="false" customHeight="true" outlineLevel="0" collapsed="false">
      <c r="A4" s="91" t="s">
        <v>5</v>
      </c>
      <c r="B4" s="91" t="s">
        <v>100</v>
      </c>
      <c r="C4" s="91" t="s">
        <v>76</v>
      </c>
      <c r="D4" s="91" t="s">
        <v>77</v>
      </c>
      <c r="E4" s="91" t="s">
        <v>78</v>
      </c>
      <c r="F4" s="91" t="s">
        <v>79</v>
      </c>
      <c r="G4" s="91" t="s">
        <v>80</v>
      </c>
      <c r="H4" s="91" t="s">
        <v>52</v>
      </c>
      <c r="I4" s="91" t="s">
        <v>53</v>
      </c>
      <c r="J4" s="91" t="s">
        <v>54</v>
      </c>
      <c r="K4" s="91" t="s">
        <v>55</v>
      </c>
      <c r="L4" s="91" t="s">
        <v>56</v>
      </c>
      <c r="M4" s="91" t="s">
        <v>57</v>
      </c>
      <c r="N4" s="91" t="s">
        <v>58</v>
      </c>
    </row>
    <row r="5" customFormat="false" ht="15" hidden="false" customHeight="true" outlineLevel="0" collapsed="false">
      <c r="A5" s="92" t="s">
        <v>101</v>
      </c>
    </row>
    <row r="6" customFormat="false" ht="15" hidden="false" customHeight="true" outlineLevel="0" collapsed="false">
      <c r="A6" s="93" t="s">
        <v>102</v>
      </c>
      <c r="B6" s="94" t="n">
        <v>-708.33</v>
      </c>
      <c r="C6" s="95" t="n">
        <v>-708.33</v>
      </c>
      <c r="D6" s="95" t="n">
        <v>-708.33</v>
      </c>
      <c r="E6" s="95" t="n">
        <v>-708.33</v>
      </c>
      <c r="F6" s="95" t="n">
        <v>-708.33</v>
      </c>
      <c r="G6" s="95" t="n">
        <v>-708.33</v>
      </c>
      <c r="H6" s="95" t="n">
        <v>-708.33</v>
      </c>
      <c r="I6" s="95" t="n">
        <v>-708.33</v>
      </c>
      <c r="J6" s="95" t="n">
        <v>-708.33</v>
      </c>
      <c r="K6" s="95" t="n">
        <v>-708.33</v>
      </c>
      <c r="L6" s="95" t="n">
        <v>-708.33</v>
      </c>
      <c r="M6" s="95" t="n">
        <v>-708.33</v>
      </c>
      <c r="N6" s="95" t="n">
        <v>-708.33</v>
      </c>
    </row>
    <row r="7" customFormat="false" ht="15" hidden="false" customHeight="true" outlineLevel="0" collapsed="false">
      <c r="A7" s="93" t="s">
        <v>103</v>
      </c>
      <c r="B7" s="94" t="n">
        <v>-146.45</v>
      </c>
      <c r="C7" s="96" t="n">
        <v>-146.45</v>
      </c>
      <c r="D7" s="96" t="n">
        <v>-146.45</v>
      </c>
      <c r="E7" s="96" t="n">
        <v>-146.45</v>
      </c>
      <c r="F7" s="96" t="n">
        <v>-146.45</v>
      </c>
      <c r="G7" s="96" t="n">
        <v>-146.45</v>
      </c>
      <c r="H7" s="96" t="n">
        <v>-146.45</v>
      </c>
      <c r="I7" s="96" t="n">
        <v>-146.45</v>
      </c>
      <c r="J7" s="96" t="n">
        <v>-146.45</v>
      </c>
      <c r="K7" s="96" t="n">
        <v>-146.45</v>
      </c>
      <c r="L7" s="96" t="n">
        <v>-146.45</v>
      </c>
      <c r="M7" s="96" t="n">
        <v>-146.45</v>
      </c>
      <c r="N7" s="96" t="n">
        <v>-146.45</v>
      </c>
    </row>
    <row r="8" customFormat="false" ht="15" hidden="false" customHeight="true" outlineLevel="0" collapsed="false">
      <c r="A8" s="93" t="s">
        <v>104</v>
      </c>
      <c r="B8" s="94" t="n">
        <v>-700</v>
      </c>
      <c r="C8" s="95" t="n">
        <v>-700</v>
      </c>
      <c r="D8" s="95" t="n">
        <v>-700</v>
      </c>
      <c r="E8" s="95" t="n">
        <v>-700</v>
      </c>
      <c r="F8" s="95" t="n">
        <v>-700</v>
      </c>
      <c r="G8" s="95" t="n">
        <v>-700</v>
      </c>
      <c r="H8" s="95" t="n">
        <v>-700</v>
      </c>
      <c r="I8" s="95" t="n">
        <v>-700</v>
      </c>
      <c r="J8" s="95" t="n">
        <v>-700</v>
      </c>
      <c r="K8" s="95" t="n">
        <v>-700</v>
      </c>
      <c r="L8" s="95" t="n">
        <v>-700</v>
      </c>
      <c r="M8" s="95" t="n">
        <v>-700</v>
      </c>
      <c r="N8" s="95" t="n">
        <v>-700</v>
      </c>
    </row>
    <row r="9" customFormat="false" ht="15" hidden="false" customHeight="true" outlineLevel="0" collapsed="false">
      <c r="A9" s="97" t="s">
        <v>105</v>
      </c>
      <c r="B9" s="98" t="n">
        <f aca="false">SUM(B6:B8)</f>
        <v>-1554.78</v>
      </c>
      <c r="C9" s="98" t="n">
        <f aca="false">SUM(C6:C8)</f>
        <v>-1554.78</v>
      </c>
      <c r="D9" s="98" t="n">
        <f aca="false">SUM(D6:D8)</f>
        <v>-1554.78</v>
      </c>
      <c r="E9" s="98" t="n">
        <f aca="false">SUM(E6:E8)</f>
        <v>-1554.78</v>
      </c>
      <c r="F9" s="98" t="n">
        <f aca="false">SUM(F6:F8)</f>
        <v>-1554.78</v>
      </c>
      <c r="G9" s="98" t="n">
        <f aca="false">SUM(G6:G8)</f>
        <v>-1554.78</v>
      </c>
      <c r="H9" s="98" t="n">
        <f aca="false">SUM(H6:H8)</f>
        <v>-1554.78</v>
      </c>
      <c r="I9" s="98" t="n">
        <f aca="false">SUM(I6:I8)</f>
        <v>-1554.78</v>
      </c>
      <c r="J9" s="98" t="n">
        <f aca="false">SUM(J6:J8)</f>
        <v>-1554.78</v>
      </c>
      <c r="K9" s="98" t="n">
        <f aca="false">SUM(K6:K8)</f>
        <v>-1554.78</v>
      </c>
      <c r="L9" s="98" t="n">
        <f aca="false">SUM(L6:L8)</f>
        <v>-1554.78</v>
      </c>
      <c r="M9" s="98" t="n">
        <f aca="false">SUM(M6:M8)</f>
        <v>-1554.78</v>
      </c>
      <c r="N9" s="98" t="n">
        <f aca="false">SUM(N6:N8)</f>
        <v>-1554.78</v>
      </c>
    </row>
    <row r="11" customFormat="false" ht="15" hidden="false" customHeight="true" outlineLevel="0" collapsed="false">
      <c r="A11" s="99" t="s">
        <v>106</v>
      </c>
    </row>
    <row r="12" customFormat="false" ht="15" hidden="false" customHeight="true" outlineLevel="0" collapsed="false">
      <c r="A12" s="93" t="s">
        <v>107</v>
      </c>
      <c r="B12" s="94" t="n">
        <v>-497.64</v>
      </c>
      <c r="C12" s="95" t="n">
        <v>-497.64</v>
      </c>
      <c r="D12" s="95" t="n">
        <v>-497.64</v>
      </c>
      <c r="E12" s="95" t="n">
        <v>-497.64</v>
      </c>
      <c r="F12" s="95" t="n">
        <v>-497.64</v>
      </c>
      <c r="G12" s="95" t="n">
        <v>-497.64</v>
      </c>
      <c r="H12" s="95" t="n">
        <v>-497.64</v>
      </c>
      <c r="I12" s="95" t="n">
        <v>-497.64</v>
      </c>
      <c r="J12" s="95" t="n">
        <v>-497.64</v>
      </c>
      <c r="K12" s="95" t="n">
        <v>-497.64</v>
      </c>
      <c r="L12" s="95" t="n">
        <v>-497.64</v>
      </c>
      <c r="M12" s="95" t="n">
        <v>-497.64</v>
      </c>
      <c r="N12" s="95" t="n">
        <v>-497.64</v>
      </c>
    </row>
    <row r="13" customFormat="false" ht="15" hidden="false" customHeight="true" outlineLevel="0" collapsed="false">
      <c r="A13" s="93" t="s">
        <v>108</v>
      </c>
      <c r="B13" s="94" t="n">
        <v>-245.32</v>
      </c>
      <c r="C13" s="96" t="n">
        <v>-245.32</v>
      </c>
      <c r="D13" s="96" t="n">
        <v>-245.32</v>
      </c>
      <c r="E13" s="96" t="n">
        <v>-245.32</v>
      </c>
      <c r="F13" s="96" t="n">
        <v>-245.32</v>
      </c>
      <c r="G13" s="96" t="n">
        <v>-245.32</v>
      </c>
      <c r="H13" s="96" t="n">
        <v>-245.32</v>
      </c>
      <c r="I13" s="96" t="n">
        <v>-245.32</v>
      </c>
      <c r="J13" s="96" t="n">
        <v>-245.32</v>
      </c>
      <c r="K13" s="96" t="n">
        <v>-245.32</v>
      </c>
      <c r="L13" s="96" t="n">
        <v>-245.32</v>
      </c>
      <c r="M13" s="96" t="n">
        <v>-245.32</v>
      </c>
      <c r="N13" s="96" t="n">
        <v>-245.32</v>
      </c>
    </row>
    <row r="14" customFormat="false" ht="15" hidden="false" customHeight="true" outlineLevel="0" collapsed="false">
      <c r="A14" s="97" t="s">
        <v>109</v>
      </c>
      <c r="B14" s="98" t="n">
        <f aca="false">SUM(B12:B13)</f>
        <v>-742.96</v>
      </c>
      <c r="C14" s="98" t="n">
        <f aca="false">SUM(C12:C13)</f>
        <v>-742.96</v>
      </c>
      <c r="D14" s="98" t="n">
        <f aca="false">SUM(D12:D13)</f>
        <v>-742.96</v>
      </c>
      <c r="E14" s="98" t="n">
        <f aca="false">SUM(E12:E13)</f>
        <v>-742.96</v>
      </c>
      <c r="F14" s="98" t="n">
        <f aca="false">SUM(F12:F13)</f>
        <v>-742.96</v>
      </c>
      <c r="G14" s="98" t="n">
        <f aca="false">SUM(G12:G13)</f>
        <v>-742.96</v>
      </c>
      <c r="H14" s="98" t="n">
        <f aca="false">SUM(H12:H13)</f>
        <v>-742.96</v>
      </c>
      <c r="I14" s="98" t="n">
        <f aca="false">SUM(I12:I13)</f>
        <v>-742.96</v>
      </c>
      <c r="J14" s="98" t="n">
        <f aca="false">SUM(J12:J13)</f>
        <v>-742.96</v>
      </c>
      <c r="K14" s="98" t="n">
        <f aca="false">SUM(K12:K13)</f>
        <v>-742.96</v>
      </c>
      <c r="L14" s="98" t="n">
        <f aca="false">SUM(L12:L13)</f>
        <v>-742.96</v>
      </c>
      <c r="M14" s="98" t="n">
        <f aca="false">SUM(M12:M13)</f>
        <v>-742.96</v>
      </c>
      <c r="N14" s="98" t="n">
        <f aca="false">SUM(N12:N13)</f>
        <v>-742.96</v>
      </c>
    </row>
    <row r="15" customFormat="false" ht="15" hidden="false" customHeight="true" outlineLevel="0" collapsed="false"/>
    <row r="16" customFormat="false" ht="15" hidden="false" customHeight="true" outlineLevel="0" collapsed="false">
      <c r="A16" s="100" t="s">
        <v>110</v>
      </c>
    </row>
    <row r="17" customFormat="false" ht="15" hidden="false" customHeight="true" outlineLevel="0" collapsed="false">
      <c r="A17" s="93" t="s">
        <v>111</v>
      </c>
      <c r="B17" s="94" t="n">
        <v>-490</v>
      </c>
      <c r="C17" s="95" t="n">
        <v>-490</v>
      </c>
      <c r="D17" s="95" t="n">
        <v>-490</v>
      </c>
      <c r="E17" s="95" t="n">
        <v>-490</v>
      </c>
      <c r="F17" s="95" t="n">
        <v>-490</v>
      </c>
      <c r="G17" s="95" t="n">
        <v>-490</v>
      </c>
      <c r="H17" s="95" t="n">
        <v>-490</v>
      </c>
      <c r="I17" s="95" t="n">
        <v>-490</v>
      </c>
      <c r="J17" s="95" t="n">
        <v>-490</v>
      </c>
      <c r="K17" s="95" t="n">
        <v>-490</v>
      </c>
      <c r="L17" s="95" t="n">
        <v>-490</v>
      </c>
      <c r="M17" s="95" t="n">
        <v>-490</v>
      </c>
      <c r="N17" s="95" t="n">
        <v>-490</v>
      </c>
    </row>
    <row r="18" customFormat="false" ht="15" hidden="false" customHeight="true" outlineLevel="0" collapsed="false">
      <c r="A18" s="93" t="s">
        <v>112</v>
      </c>
      <c r="B18" s="94" t="n">
        <v>-900</v>
      </c>
      <c r="C18" s="96" t="n">
        <v>-900</v>
      </c>
      <c r="D18" s="96" t="n">
        <v>-900</v>
      </c>
      <c r="E18" s="96" t="n">
        <v>-900</v>
      </c>
      <c r="F18" s="96" t="n">
        <v>-900</v>
      </c>
      <c r="G18" s="96" t="n">
        <v>-900</v>
      </c>
      <c r="H18" s="96" t="n">
        <v>-900</v>
      </c>
      <c r="I18" s="96" t="n">
        <v>-900</v>
      </c>
      <c r="J18" s="96" t="n">
        <v>-900</v>
      </c>
      <c r="K18" s="96" t="n">
        <v>-900</v>
      </c>
      <c r="L18" s="96" t="n">
        <v>-900</v>
      </c>
      <c r="M18" s="96" t="n">
        <v>-900</v>
      </c>
      <c r="N18" s="96" t="n">
        <v>-900</v>
      </c>
    </row>
    <row r="19" customFormat="false" ht="15" hidden="false" customHeight="true" outlineLevel="0" collapsed="false">
      <c r="A19" s="97" t="s">
        <v>113</v>
      </c>
      <c r="B19" s="101" t="n">
        <f aca="false">SUM(B17:B18)</f>
        <v>-1390</v>
      </c>
      <c r="C19" s="98" t="n">
        <f aca="false">SUM(C17:C18)</f>
        <v>-1390</v>
      </c>
      <c r="D19" s="98" t="n">
        <f aca="false">SUM(D17:D18)</f>
        <v>-1390</v>
      </c>
      <c r="E19" s="98" t="n">
        <f aca="false">SUM(E17:E18)</f>
        <v>-1390</v>
      </c>
      <c r="F19" s="98" t="n">
        <f aca="false">SUM(F17:F18)</f>
        <v>-1390</v>
      </c>
      <c r="G19" s="98" t="n">
        <f aca="false">SUM(G17:G18)</f>
        <v>-1390</v>
      </c>
      <c r="H19" s="98" t="n">
        <f aca="false">SUM(H17:H18)</f>
        <v>-1390</v>
      </c>
      <c r="I19" s="98" t="n">
        <f aca="false">SUM(I17:I18)</f>
        <v>-1390</v>
      </c>
      <c r="J19" s="98" t="n">
        <f aca="false">SUM(J17:J18)</f>
        <v>-1390</v>
      </c>
      <c r="K19" s="98" t="n">
        <f aca="false">SUM(K17:K18)</f>
        <v>-1390</v>
      </c>
      <c r="L19" s="98" t="n">
        <f aca="false">SUM(L17:L18)</f>
        <v>-1390</v>
      </c>
      <c r="M19" s="98" t="n">
        <f aca="false">SUM(M17:M18)</f>
        <v>-1390</v>
      </c>
      <c r="N19" s="98" t="n">
        <f aca="false">SUM(N17:N18)</f>
        <v>-1390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102" t="s">
        <v>114</v>
      </c>
    </row>
    <row r="22" customFormat="false" ht="15" hidden="false" customHeight="true" outlineLevel="0" collapsed="false">
      <c r="A22" s="93" t="s">
        <v>115</v>
      </c>
      <c r="B22" s="94" t="n">
        <v>-20</v>
      </c>
      <c r="C22" s="96" t="n">
        <v>-20</v>
      </c>
      <c r="D22" s="96" t="n">
        <v>-20</v>
      </c>
      <c r="E22" s="96" t="n">
        <v>-20</v>
      </c>
      <c r="F22" s="96" t="n">
        <v>-20</v>
      </c>
      <c r="G22" s="96" t="n">
        <v>-20</v>
      </c>
      <c r="H22" s="96" t="n">
        <v>-20</v>
      </c>
      <c r="I22" s="96" t="n">
        <v>-20</v>
      </c>
      <c r="J22" s="96" t="n">
        <v>-20</v>
      </c>
      <c r="K22" s="96" t="n">
        <v>-20</v>
      </c>
      <c r="L22" s="96" t="n">
        <v>-20</v>
      </c>
      <c r="M22" s="96" t="n">
        <v>-20</v>
      </c>
      <c r="N22" s="96" t="n">
        <v>-20</v>
      </c>
    </row>
    <row r="23" customFormat="false" ht="15" hidden="false" customHeight="true" outlineLevel="0" collapsed="false">
      <c r="A23" s="93" t="s">
        <v>116</v>
      </c>
      <c r="B23" s="94" t="n">
        <v>-15</v>
      </c>
      <c r="C23" s="95" t="n">
        <v>-15</v>
      </c>
      <c r="D23" s="95" t="n">
        <v>-15</v>
      </c>
      <c r="E23" s="95" t="n">
        <v>-15</v>
      </c>
      <c r="F23" s="95" t="n">
        <v>-15</v>
      </c>
      <c r="G23" s="95" t="n">
        <v>-15</v>
      </c>
      <c r="H23" s="95" t="n">
        <v>-15</v>
      </c>
      <c r="I23" s="95" t="n">
        <v>-15</v>
      </c>
      <c r="J23" s="95" t="n">
        <v>-15</v>
      </c>
      <c r="K23" s="95" t="n">
        <v>-15</v>
      </c>
      <c r="L23" s="95" t="n">
        <v>-15</v>
      </c>
      <c r="M23" s="95" t="n">
        <v>-15</v>
      </c>
      <c r="N23" s="95" t="n">
        <v>-15</v>
      </c>
    </row>
    <row r="24" customFormat="false" ht="15" hidden="false" customHeight="true" outlineLevel="0" collapsed="false">
      <c r="A24" s="97" t="s">
        <v>117</v>
      </c>
      <c r="B24" s="101" t="n">
        <f aca="false">SUM(B22:B23)</f>
        <v>-35</v>
      </c>
      <c r="C24" s="98" t="n">
        <f aca="false">SUM(C22:C23)</f>
        <v>-35</v>
      </c>
      <c r="D24" s="98" t="n">
        <f aca="false">SUM(D22:D23)</f>
        <v>-35</v>
      </c>
      <c r="E24" s="98" t="n">
        <f aca="false">SUM(E22:E23)</f>
        <v>-35</v>
      </c>
      <c r="F24" s="98" t="n">
        <f aca="false">SUM(F22:F23)</f>
        <v>-35</v>
      </c>
      <c r="G24" s="98" t="n">
        <f aca="false">SUM(G22:G23)</f>
        <v>-35</v>
      </c>
      <c r="H24" s="98" t="n">
        <f aca="false">SUM(H22:H23)</f>
        <v>-35</v>
      </c>
      <c r="I24" s="98" t="n">
        <f aca="false">SUM(I22:I23)</f>
        <v>-35</v>
      </c>
      <c r="J24" s="98" t="n">
        <f aca="false">SUM(J22:J23)</f>
        <v>-35</v>
      </c>
      <c r="K24" s="98" t="n">
        <f aca="false">SUM(K22:K23)</f>
        <v>-35</v>
      </c>
      <c r="L24" s="98" t="n">
        <f aca="false">SUM(L22:L23)</f>
        <v>-35</v>
      </c>
      <c r="M24" s="98" t="n">
        <f aca="false">SUM(M22:M23)</f>
        <v>-35</v>
      </c>
      <c r="N24" s="98" t="n">
        <f aca="false">SUM(N22:N23)</f>
        <v>-35</v>
      </c>
    </row>
    <row r="25" customFormat="false" ht="15" hidden="false" customHeight="true" outlineLevel="0" collapsed="false"/>
    <row r="26" customFormat="false" ht="15" hidden="false" customHeight="true" outlineLevel="0" collapsed="false">
      <c r="A26" s="103" t="s">
        <v>118</v>
      </c>
    </row>
    <row r="27" customFormat="false" ht="15" hidden="false" customHeight="true" outlineLevel="0" collapsed="false">
      <c r="A27" s="93" t="s">
        <v>119</v>
      </c>
      <c r="B27" s="94" t="n">
        <v>-23</v>
      </c>
      <c r="C27" s="95" t="n">
        <v>-23</v>
      </c>
      <c r="D27" s="95" t="n">
        <v>-23</v>
      </c>
      <c r="E27" s="95" t="n">
        <v>-23</v>
      </c>
      <c r="F27" s="95" t="n">
        <v>-23</v>
      </c>
      <c r="G27" s="95" t="n">
        <v>-23</v>
      </c>
      <c r="H27" s="95" t="n">
        <v>-23</v>
      </c>
      <c r="I27" s="95" t="n">
        <v>-23</v>
      </c>
      <c r="J27" s="95" t="n">
        <v>-23</v>
      </c>
      <c r="K27" s="95" t="n">
        <v>-23</v>
      </c>
      <c r="L27" s="95" t="n">
        <v>-23</v>
      </c>
      <c r="M27" s="95" t="n">
        <v>-23</v>
      </c>
      <c r="N27" s="95" t="n">
        <v>-23</v>
      </c>
    </row>
    <row r="28" customFormat="false" ht="15" hidden="false" customHeight="true" outlineLevel="0" collapsed="false">
      <c r="A28" s="93" t="s">
        <v>120</v>
      </c>
      <c r="B28" s="94" t="n">
        <v>-17.5</v>
      </c>
      <c r="C28" s="96" t="n">
        <v>-17.5</v>
      </c>
      <c r="D28" s="96" t="n">
        <v>-17.5</v>
      </c>
      <c r="E28" s="96" t="n">
        <v>-17.5</v>
      </c>
      <c r="F28" s="96" t="n">
        <v>-17.5</v>
      </c>
      <c r="G28" s="96" t="n">
        <v>-17.5</v>
      </c>
      <c r="H28" s="96" t="n">
        <v>-17.5</v>
      </c>
      <c r="I28" s="96" t="n">
        <v>-17.5</v>
      </c>
      <c r="J28" s="96" t="n">
        <v>-17.5</v>
      </c>
      <c r="K28" s="96" t="n">
        <v>-17.5</v>
      </c>
      <c r="L28" s="96" t="n">
        <v>-17.5</v>
      </c>
      <c r="M28" s="96" t="n">
        <v>-17.5</v>
      </c>
      <c r="N28" s="96" t="n">
        <v>-17.5</v>
      </c>
    </row>
    <row r="29" customFormat="false" ht="15" hidden="false" customHeight="true" outlineLevel="0" collapsed="false">
      <c r="A29" s="93" t="s">
        <v>121</v>
      </c>
    </row>
    <row r="30" customFormat="false" ht="15" hidden="false" customHeight="true" outlineLevel="0" collapsed="false">
      <c r="A30" s="93" t="s">
        <v>122</v>
      </c>
      <c r="B30" s="94" t="n">
        <v>-6.99</v>
      </c>
      <c r="C30" s="96" t="n">
        <v>-6.99</v>
      </c>
      <c r="D30" s="96" t="n">
        <v>-6.99</v>
      </c>
      <c r="E30" s="96" t="n">
        <v>-6.99</v>
      </c>
      <c r="F30" s="96" t="n">
        <v>-6.99</v>
      </c>
      <c r="G30" s="96" t="n">
        <v>-6.99</v>
      </c>
      <c r="H30" s="96" t="n">
        <v>-6.99</v>
      </c>
      <c r="I30" s="96" t="n">
        <v>-6.99</v>
      </c>
      <c r="J30" s="96" t="n">
        <v>-6.99</v>
      </c>
      <c r="K30" s="96" t="n">
        <v>-6.99</v>
      </c>
      <c r="L30" s="96" t="n">
        <v>-6.99</v>
      </c>
      <c r="M30" s="96" t="n">
        <v>-6.99</v>
      </c>
      <c r="N30" s="96" t="n">
        <v>-6.99</v>
      </c>
    </row>
    <row r="31" customFormat="false" ht="15" hidden="false" customHeight="true" outlineLevel="0" collapsed="false">
      <c r="A31" s="93" t="s">
        <v>123</v>
      </c>
      <c r="B31" s="94" t="n">
        <v>-9.99</v>
      </c>
      <c r="C31" s="95" t="n">
        <v>-9.99</v>
      </c>
      <c r="D31" s="95" t="n">
        <v>-9.99</v>
      </c>
      <c r="E31" s="95" t="n">
        <v>-9.99</v>
      </c>
      <c r="F31" s="95" t="n">
        <v>-9.99</v>
      </c>
      <c r="G31" s="95" t="n">
        <v>-9.99</v>
      </c>
      <c r="H31" s="95" t="n">
        <v>-9.99</v>
      </c>
      <c r="I31" s="95" t="n">
        <v>-9.99</v>
      </c>
      <c r="J31" s="95" t="n">
        <v>-9.99</v>
      </c>
      <c r="K31" s="95" t="n">
        <v>-9.99</v>
      </c>
      <c r="L31" s="95" t="n">
        <v>-9.99</v>
      </c>
      <c r="M31" s="95" t="n">
        <v>-9.99</v>
      </c>
      <c r="N31" s="95" t="n">
        <v>-9.99</v>
      </c>
    </row>
    <row r="32" customFormat="false" ht="15" hidden="false" customHeight="true" outlineLevel="0" collapsed="false">
      <c r="A32" s="97" t="s">
        <v>124</v>
      </c>
      <c r="B32" s="98" t="n">
        <f aca="false">SUM(B27:B31)</f>
        <v>-57.48</v>
      </c>
      <c r="C32" s="98" t="n">
        <f aca="false">SUM(C27:C31)</f>
        <v>-57.48</v>
      </c>
      <c r="D32" s="98" t="n">
        <f aca="false">SUM(D27:D31)</f>
        <v>-57.48</v>
      </c>
      <c r="E32" s="98" t="n">
        <f aca="false">SUM(E27:E31)</f>
        <v>-57.48</v>
      </c>
      <c r="F32" s="98" t="n">
        <f aca="false">SUM(F27:F31)</f>
        <v>-57.48</v>
      </c>
      <c r="G32" s="98" t="n">
        <f aca="false">SUM(G27:G31)</f>
        <v>-57.48</v>
      </c>
      <c r="H32" s="98" t="n">
        <f aca="false">SUM(H27:H31)</f>
        <v>-57.48</v>
      </c>
      <c r="I32" s="98" t="n">
        <f aca="false">SUM(I27:I31)</f>
        <v>-57.48</v>
      </c>
      <c r="J32" s="98" t="n">
        <f aca="false">SUM(J27:J31)</f>
        <v>-57.48</v>
      </c>
      <c r="K32" s="98" t="n">
        <f aca="false">SUM(K27:K31)</f>
        <v>-57.48</v>
      </c>
      <c r="L32" s="98" t="n">
        <f aca="false">SUM(L27:L31)</f>
        <v>-57.48</v>
      </c>
      <c r="M32" s="98" t="n">
        <f aca="false">SUM(M27:M31)</f>
        <v>-57.48</v>
      </c>
      <c r="N32" s="98" t="n">
        <f aca="false">SUM(N27:N31)</f>
        <v>-57.48</v>
      </c>
    </row>
    <row r="33" customFormat="false" ht="15" hidden="false" customHeight="true" outlineLevel="0" collapsed="false"/>
    <row r="34" customFormat="false" ht="15" hidden="false" customHeight="true" outlineLevel="0" collapsed="false">
      <c r="A34" s="104" t="s">
        <v>125</v>
      </c>
    </row>
    <row r="35" customFormat="false" ht="15" hidden="false" customHeight="true" outlineLevel="0" collapsed="false">
      <c r="A35" s="93" t="s">
        <v>126</v>
      </c>
      <c r="B35" s="94" t="n">
        <v>-24.99</v>
      </c>
      <c r="C35" s="95" t="n">
        <v>-24.99</v>
      </c>
      <c r="D35" s="95" t="n">
        <v>-24.99</v>
      </c>
      <c r="E35" s="95" t="n">
        <v>-24.99</v>
      </c>
      <c r="F35" s="95" t="n">
        <v>-24.99</v>
      </c>
      <c r="G35" s="95" t="n">
        <v>-24.99</v>
      </c>
      <c r="H35" s="95" t="n">
        <v>-24.99</v>
      </c>
      <c r="I35" s="95" t="n">
        <v>-24.99</v>
      </c>
      <c r="J35" s="95" t="n">
        <v>-24.99</v>
      </c>
      <c r="K35" s="95" t="n">
        <v>-24.99</v>
      </c>
      <c r="L35" s="95" t="n">
        <v>-24.99</v>
      </c>
      <c r="M35" s="95" t="n">
        <v>-24.99</v>
      </c>
      <c r="N35" s="95" t="n">
        <v>-24.99</v>
      </c>
    </row>
    <row r="36" customFormat="false" ht="15" hidden="false" customHeight="true" outlineLevel="0" collapsed="false">
      <c r="A36" s="93" t="s">
        <v>127</v>
      </c>
      <c r="B36" s="94" t="n">
        <v>-8.99</v>
      </c>
      <c r="C36" s="96" t="n">
        <v>-8.99</v>
      </c>
      <c r="D36" s="96" t="n">
        <v>-8.99</v>
      </c>
      <c r="E36" s="96" t="n">
        <v>-8.99</v>
      </c>
      <c r="F36" s="96" t="n">
        <v>-8.99</v>
      </c>
      <c r="G36" s="96" t="n">
        <v>-8.99</v>
      </c>
      <c r="H36" s="96" t="n">
        <v>-8.99</v>
      </c>
      <c r="I36" s="96" t="n">
        <v>-8.99</v>
      </c>
      <c r="J36" s="96" t="n">
        <v>-8.99</v>
      </c>
      <c r="K36" s="96" t="n">
        <v>-8.99</v>
      </c>
      <c r="L36" s="96" t="n">
        <v>-8.99</v>
      </c>
      <c r="M36" s="96" t="n">
        <v>-8.99</v>
      </c>
      <c r="N36" s="96" t="n">
        <v>-8.99</v>
      </c>
    </row>
    <row r="37" customFormat="false" ht="15" hidden="false" customHeight="true" outlineLevel="0" collapsed="false">
      <c r="A37" s="93" t="s">
        <v>128</v>
      </c>
    </row>
    <row r="38" customFormat="false" ht="15" hidden="false" customHeight="true" outlineLevel="0" collapsed="false">
      <c r="A38" s="93" t="s">
        <v>129</v>
      </c>
      <c r="B38" s="94" t="n">
        <v>-76.67</v>
      </c>
      <c r="C38" s="96" t="n">
        <v>-76.67</v>
      </c>
      <c r="D38" s="96" t="n">
        <v>-76.67</v>
      </c>
      <c r="E38" s="96" t="n">
        <v>-76.67</v>
      </c>
      <c r="F38" s="96" t="n">
        <v>-76.67</v>
      </c>
      <c r="G38" s="96" t="n">
        <v>-76.67</v>
      </c>
      <c r="H38" s="96" t="n">
        <v>-76.67</v>
      </c>
      <c r="I38" s="96" t="n">
        <v>-76.67</v>
      </c>
      <c r="J38" s="96" t="n">
        <v>-76.67</v>
      </c>
      <c r="K38" s="96" t="n">
        <v>-76.67</v>
      </c>
      <c r="L38" s="96" t="n">
        <v>-76.67</v>
      </c>
      <c r="M38" s="96" t="n">
        <v>-76.67</v>
      </c>
      <c r="N38" s="96" t="n">
        <v>-76.67</v>
      </c>
    </row>
    <row r="39" customFormat="false" ht="15" hidden="false" customHeight="true" outlineLevel="0" collapsed="false">
      <c r="A39" s="97" t="s">
        <v>130</v>
      </c>
      <c r="B39" s="98" t="n">
        <f aca="false">SUM(B35:B38)</f>
        <v>-110.65</v>
      </c>
      <c r="C39" s="98" t="n">
        <f aca="false">SUM(C35:C38)</f>
        <v>-110.65</v>
      </c>
      <c r="D39" s="98" t="n">
        <f aca="false">SUM(D35:D38)</f>
        <v>-110.65</v>
      </c>
      <c r="E39" s="98" t="n">
        <f aca="false">SUM(E35:E38)</f>
        <v>-110.65</v>
      </c>
      <c r="F39" s="98" t="n">
        <f aca="false">SUM(F35:F38)</f>
        <v>-110.65</v>
      </c>
      <c r="G39" s="98" t="n">
        <f aca="false">SUM(G35:G38)</f>
        <v>-110.65</v>
      </c>
      <c r="H39" s="98" t="n">
        <f aca="false">SUM(H35:H38)</f>
        <v>-110.65</v>
      </c>
      <c r="I39" s="98" t="n">
        <f aca="false">SUM(I35:I38)</f>
        <v>-110.65</v>
      </c>
      <c r="J39" s="98" t="n">
        <f aca="false">SUM(J35:J38)</f>
        <v>-110.65</v>
      </c>
      <c r="K39" s="98" t="n">
        <f aca="false">SUM(K35:K38)</f>
        <v>-110.65</v>
      </c>
      <c r="L39" s="98" t="n">
        <f aca="false">SUM(L35:L38)</f>
        <v>-110.65</v>
      </c>
      <c r="M39" s="98" t="n">
        <f aca="false">SUM(M35:M38)</f>
        <v>-110.65</v>
      </c>
      <c r="N39" s="98" t="n">
        <f aca="false">SUM(N35:N38)</f>
        <v>-110.65</v>
      </c>
    </row>
    <row r="40" customFormat="false" ht="15" hidden="false" customHeight="true" outlineLevel="0" collapsed="false"/>
    <row r="41" customFormat="false" ht="15" hidden="false" customHeight="true" outlineLevel="0" collapsed="false">
      <c r="A41" s="105" t="s">
        <v>131</v>
      </c>
      <c r="B41" s="106" t="n">
        <f aca="false">SUM(B5:B40)</f>
        <v>-7781.74</v>
      </c>
      <c r="C41" s="106" t="n">
        <f aca="false">SUM(C5:C40)</f>
        <v>-7781.74</v>
      </c>
      <c r="D41" s="106" t="n">
        <f aca="false">SUM(D5:D40)</f>
        <v>-7781.74</v>
      </c>
      <c r="E41" s="106" t="n">
        <f aca="false">SUM(E5:E40)</f>
        <v>-7781.74</v>
      </c>
      <c r="F41" s="106" t="n">
        <f aca="false">SUM(F5:F40)</f>
        <v>-7781.74</v>
      </c>
      <c r="G41" s="106" t="n">
        <f aca="false">SUM(G5:G40)</f>
        <v>-7781.74</v>
      </c>
      <c r="H41" s="106" t="n">
        <f aca="false">SUM(H5:H40)</f>
        <v>-7781.74</v>
      </c>
      <c r="I41" s="106" t="n">
        <f aca="false">SUM(I5:I40)</f>
        <v>-7781.74</v>
      </c>
      <c r="J41" s="106" t="n">
        <f aca="false">SUM(J5:J40)</f>
        <v>-7781.74</v>
      </c>
      <c r="K41" s="106" t="n">
        <f aca="false">SUM(K5:K40)</f>
        <v>-7781.74</v>
      </c>
      <c r="L41" s="106" t="n">
        <f aca="false">SUM(L5:L40)</f>
        <v>-7781.74</v>
      </c>
      <c r="M41" s="106" t="n">
        <f aca="false">SUM(M5:M40)</f>
        <v>-7781.74</v>
      </c>
      <c r="N41" s="106" t="n">
        <f aca="false">SUM(N5:N40)</f>
        <v>-7781.74</v>
      </c>
    </row>
    <row r="42" customFormat="false" ht="15" hidden="false" customHeight="true" outlineLevel="0" collapsed="false"/>
    <row r="44" customFormat="false" ht="21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14" min="3" style="1" width="8"/>
  </cols>
  <sheetData>
    <row r="1" customFormat="false" ht="27.75" hidden="false" customHeight="true" outlineLevel="0" collapsed="false">
      <c r="A1" s="107" t="s">
        <v>132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customFormat="false" ht="15" hidden="false" customHeight="true" outlineLevel="0" collapsed="false">
      <c r="A2" s="108" t="s">
        <v>133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3" customFormat="false" ht="21.75" hidden="false" customHeight="true" outlineLevel="0" collapsed="false">
      <c r="A3" s="4" t="s">
        <v>2</v>
      </c>
      <c r="B3" s="4" t="s">
        <v>134</v>
      </c>
      <c r="C3" s="4" t="s">
        <v>76</v>
      </c>
      <c r="D3" s="4" t="s">
        <v>77</v>
      </c>
      <c r="E3" s="4" t="s">
        <v>78</v>
      </c>
      <c r="F3" s="4" t="s">
        <v>79</v>
      </c>
      <c r="G3" s="4" t="s">
        <v>80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</row>
    <row r="4" customFormat="false" ht="15" hidden="false" customHeight="true" outlineLevel="0" collapsed="false">
      <c r="A4" s="5" t="s">
        <v>135</v>
      </c>
      <c r="B4" s="7" t="n">
        <v>-708.33</v>
      </c>
      <c r="C4" s="109" t="s">
        <v>136</v>
      </c>
      <c r="D4" s="109" t="s">
        <v>136</v>
      </c>
      <c r="E4" s="109" t="s">
        <v>136</v>
      </c>
      <c r="F4" s="109" t="s">
        <v>136</v>
      </c>
      <c r="G4" s="109" t="s">
        <v>136</v>
      </c>
      <c r="H4" s="109" t="s">
        <v>136</v>
      </c>
      <c r="I4" s="109" t="s">
        <v>136</v>
      </c>
      <c r="J4" s="109" t="s">
        <v>136</v>
      </c>
      <c r="K4" s="109" t="s">
        <v>136</v>
      </c>
      <c r="L4" s="109" t="s">
        <v>136</v>
      </c>
      <c r="M4" s="109" t="s">
        <v>136</v>
      </c>
      <c r="N4" s="109" t="s">
        <v>136</v>
      </c>
    </row>
    <row r="5" customFormat="false" ht="15" hidden="false" customHeight="true" outlineLevel="0" collapsed="false">
      <c r="A5" s="10" t="s">
        <v>137</v>
      </c>
      <c r="B5" s="12" t="n">
        <v>-146.45</v>
      </c>
      <c r="C5" s="109" t="s">
        <v>136</v>
      </c>
      <c r="D5" s="109" t="s">
        <v>136</v>
      </c>
      <c r="E5" s="109" t="s">
        <v>136</v>
      </c>
      <c r="F5" s="109" t="s">
        <v>136</v>
      </c>
      <c r="G5" s="109" t="s">
        <v>136</v>
      </c>
      <c r="H5" s="109" t="s">
        <v>136</v>
      </c>
      <c r="I5" s="109" t="s">
        <v>136</v>
      </c>
      <c r="J5" s="109" t="s">
        <v>136</v>
      </c>
      <c r="K5" s="109" t="s">
        <v>136</v>
      </c>
      <c r="L5" s="109" t="s">
        <v>136</v>
      </c>
      <c r="M5" s="109" t="s">
        <v>136</v>
      </c>
      <c r="N5" s="109" t="s">
        <v>136</v>
      </c>
    </row>
    <row r="6" customFormat="false" ht="15" hidden="false" customHeight="true" outlineLevel="0" collapsed="false">
      <c r="A6" s="5" t="s">
        <v>138</v>
      </c>
      <c r="B6" s="7" t="n">
        <v>-490</v>
      </c>
      <c r="C6" s="109" t="s">
        <v>136</v>
      </c>
      <c r="D6" s="109" t="s">
        <v>136</v>
      </c>
      <c r="E6" s="109" t="s">
        <v>136</v>
      </c>
      <c r="F6" s="109" t="s">
        <v>136</v>
      </c>
      <c r="G6" s="109" t="s">
        <v>136</v>
      </c>
      <c r="H6" s="109" t="s">
        <v>136</v>
      </c>
      <c r="I6" s="109" t="s">
        <v>136</v>
      </c>
      <c r="J6" s="109" t="s">
        <v>136</v>
      </c>
      <c r="K6" s="109" t="s">
        <v>136</v>
      </c>
      <c r="L6" s="109" t="s">
        <v>136</v>
      </c>
      <c r="M6" s="109" t="s">
        <v>136</v>
      </c>
      <c r="N6" s="109" t="s">
        <v>136</v>
      </c>
    </row>
    <row r="7" customFormat="false" ht="15" hidden="false" customHeight="true" outlineLevel="0" collapsed="false">
      <c r="A7" s="10" t="s">
        <v>139</v>
      </c>
      <c r="B7" s="12" t="n">
        <v>-900</v>
      </c>
      <c r="C7" s="109" t="s">
        <v>136</v>
      </c>
      <c r="D7" s="109" t="s">
        <v>136</v>
      </c>
      <c r="E7" s="109" t="s">
        <v>136</v>
      </c>
      <c r="F7" s="109" t="s">
        <v>136</v>
      </c>
      <c r="G7" s="109" t="s">
        <v>136</v>
      </c>
      <c r="H7" s="109" t="s">
        <v>136</v>
      </c>
      <c r="I7" s="109" t="s">
        <v>136</v>
      </c>
      <c r="J7" s="109" t="s">
        <v>136</v>
      </c>
      <c r="K7" s="109" t="s">
        <v>136</v>
      </c>
      <c r="L7" s="109" t="s">
        <v>136</v>
      </c>
      <c r="M7" s="109" t="s">
        <v>136</v>
      </c>
      <c r="N7" s="109" t="s">
        <v>136</v>
      </c>
    </row>
    <row r="8" customFormat="false" ht="15" hidden="false" customHeight="true" outlineLevel="0" collapsed="false">
      <c r="A8" s="5" t="s">
        <v>140</v>
      </c>
      <c r="B8" s="7" t="n">
        <v>-497.64</v>
      </c>
      <c r="C8" s="110" t="s">
        <v>13</v>
      </c>
      <c r="D8" s="110" t="s">
        <v>13</v>
      </c>
      <c r="E8" s="109" t="s">
        <v>136</v>
      </c>
      <c r="F8" s="109" t="s">
        <v>136</v>
      </c>
      <c r="G8" s="109" t="s">
        <v>136</v>
      </c>
      <c r="H8" s="109" t="s">
        <v>136</v>
      </c>
      <c r="I8" s="109" t="s">
        <v>136</v>
      </c>
      <c r="J8" s="109" t="s">
        <v>136</v>
      </c>
      <c r="K8" s="109" t="s">
        <v>136</v>
      </c>
      <c r="L8" s="109" t="s">
        <v>136</v>
      </c>
      <c r="M8" s="109" t="s">
        <v>136</v>
      </c>
      <c r="N8" s="109" t="s">
        <v>136</v>
      </c>
    </row>
    <row r="9" customFormat="false" ht="15" hidden="false" customHeight="true" outlineLevel="0" collapsed="false">
      <c r="A9" s="10" t="s">
        <v>141</v>
      </c>
      <c r="B9" s="12" t="n">
        <v>-245.32</v>
      </c>
      <c r="C9" s="110" t="s">
        <v>13</v>
      </c>
      <c r="D9" s="110" t="s">
        <v>13</v>
      </c>
      <c r="E9" s="109" t="s">
        <v>136</v>
      </c>
      <c r="F9" s="109" t="s">
        <v>136</v>
      </c>
      <c r="G9" s="109" t="s">
        <v>136</v>
      </c>
      <c r="H9" s="109" t="s">
        <v>136</v>
      </c>
      <c r="I9" s="109" t="s">
        <v>136</v>
      </c>
      <c r="J9" s="109" t="s">
        <v>136</v>
      </c>
      <c r="K9" s="109" t="s">
        <v>136</v>
      </c>
      <c r="L9" s="109" t="s">
        <v>136</v>
      </c>
      <c r="M9" s="109" t="s">
        <v>136</v>
      </c>
      <c r="N9" s="109" t="s">
        <v>136</v>
      </c>
    </row>
    <row r="10" customFormat="false" ht="15" hidden="false" customHeight="true" outlineLevel="0" collapsed="false">
      <c r="A10" s="10" t="s">
        <v>142</v>
      </c>
      <c r="B10" s="12" t="n">
        <v>-20</v>
      </c>
      <c r="C10" s="109" t="s">
        <v>136</v>
      </c>
      <c r="D10" s="109" t="s">
        <v>136</v>
      </c>
      <c r="E10" s="109" t="s">
        <v>136</v>
      </c>
      <c r="F10" s="109" t="s">
        <v>136</v>
      </c>
      <c r="G10" s="109" t="s">
        <v>136</v>
      </c>
      <c r="H10" s="109" t="s">
        <v>136</v>
      </c>
      <c r="I10" s="109" t="s">
        <v>136</v>
      </c>
      <c r="J10" s="109" t="s">
        <v>136</v>
      </c>
      <c r="K10" s="109" t="s">
        <v>136</v>
      </c>
      <c r="L10" s="109" t="s">
        <v>136</v>
      </c>
      <c r="M10" s="109" t="s">
        <v>136</v>
      </c>
      <c r="N10" s="109" t="s">
        <v>136</v>
      </c>
    </row>
    <row r="11" customFormat="false" ht="15" hidden="false" customHeight="true" outlineLevel="0" collapsed="false">
      <c r="A11" s="5" t="s">
        <v>143</v>
      </c>
      <c r="B11" s="7" t="n">
        <v>-15</v>
      </c>
      <c r="C11" s="109" t="s">
        <v>136</v>
      </c>
      <c r="D11" s="109" t="s">
        <v>136</v>
      </c>
      <c r="E11" s="109" t="s">
        <v>136</v>
      </c>
      <c r="F11" s="109" t="s">
        <v>136</v>
      </c>
      <c r="G11" s="109" t="s">
        <v>136</v>
      </c>
      <c r="H11" s="109" t="s">
        <v>136</v>
      </c>
      <c r="I11" s="109" t="s">
        <v>136</v>
      </c>
      <c r="J11" s="109" t="s">
        <v>136</v>
      </c>
      <c r="K11" s="109" t="s">
        <v>136</v>
      </c>
      <c r="L11" s="109" t="s">
        <v>136</v>
      </c>
      <c r="M11" s="109" t="s">
        <v>136</v>
      </c>
      <c r="N11" s="109" t="s">
        <v>136</v>
      </c>
    </row>
    <row r="12" customFormat="false" ht="15" hidden="false" customHeight="true" outlineLevel="0" collapsed="false">
      <c r="A12" s="10" t="s">
        <v>144</v>
      </c>
      <c r="B12" s="12" t="n">
        <v>-24.99</v>
      </c>
      <c r="C12" s="110" t="s">
        <v>13</v>
      </c>
      <c r="D12" s="109" t="s">
        <v>136</v>
      </c>
      <c r="E12" s="109" t="s">
        <v>136</v>
      </c>
      <c r="F12" s="109" t="s">
        <v>136</v>
      </c>
      <c r="G12" s="109" t="s">
        <v>136</v>
      </c>
      <c r="H12" s="110" t="s">
        <v>13</v>
      </c>
      <c r="I12" s="109" t="s">
        <v>136</v>
      </c>
      <c r="J12" s="109" t="s">
        <v>136</v>
      </c>
      <c r="K12" s="109" t="s">
        <v>136</v>
      </c>
      <c r="L12" s="109" t="s">
        <v>136</v>
      </c>
      <c r="M12" s="109" t="s">
        <v>136</v>
      </c>
      <c r="N12" s="109" t="s">
        <v>136</v>
      </c>
    </row>
    <row r="13" customFormat="false" ht="15" hidden="false" customHeight="true" outlineLevel="0" collapsed="false">
      <c r="A13" s="5" t="s">
        <v>145</v>
      </c>
      <c r="B13" s="7" t="n">
        <v>-23</v>
      </c>
      <c r="C13" s="110" t="s">
        <v>13</v>
      </c>
      <c r="D13" s="110" t="s">
        <v>13</v>
      </c>
      <c r="E13" s="110" t="s">
        <v>13</v>
      </c>
      <c r="F13" s="110" t="s">
        <v>13</v>
      </c>
      <c r="G13" s="110" t="s">
        <v>13</v>
      </c>
      <c r="H13" s="110" t="s">
        <v>13</v>
      </c>
      <c r="I13" s="109" t="s">
        <v>136</v>
      </c>
      <c r="J13" s="109" t="s">
        <v>136</v>
      </c>
      <c r="K13" s="109" t="s">
        <v>136</v>
      </c>
      <c r="L13" s="109" t="s">
        <v>136</v>
      </c>
      <c r="M13" s="109" t="s">
        <v>136</v>
      </c>
      <c r="N13" s="109" t="s">
        <v>136</v>
      </c>
    </row>
    <row r="14" customFormat="false" ht="15" hidden="false" customHeight="true" outlineLevel="0" collapsed="false">
      <c r="A14" s="10" t="s">
        <v>35</v>
      </c>
      <c r="B14" s="12" t="n">
        <v>-17.5</v>
      </c>
      <c r="C14" s="110" t="s">
        <v>13</v>
      </c>
      <c r="D14" s="110" t="s">
        <v>13</v>
      </c>
      <c r="E14" s="110" t="s">
        <v>13</v>
      </c>
      <c r="F14" s="110" t="s">
        <v>13</v>
      </c>
      <c r="G14" s="110" t="s">
        <v>13</v>
      </c>
      <c r="H14" s="110" t="s">
        <v>13</v>
      </c>
      <c r="I14" s="109" t="s">
        <v>136</v>
      </c>
      <c r="J14" s="109" t="s">
        <v>136</v>
      </c>
      <c r="K14" s="109" t="s">
        <v>136</v>
      </c>
      <c r="L14" s="109" t="s">
        <v>136</v>
      </c>
      <c r="M14" s="109" t="s">
        <v>136</v>
      </c>
      <c r="N14" s="109" t="s">
        <v>136</v>
      </c>
    </row>
    <row r="15" customFormat="false" ht="15" hidden="false" customHeight="true" outlineLevel="0" collapsed="false">
      <c r="A15" s="5" t="s">
        <v>36</v>
      </c>
      <c r="B15" s="7" t="n">
        <v>-6.5</v>
      </c>
      <c r="C15" s="110" t="s">
        <v>13</v>
      </c>
      <c r="D15" s="110" t="s">
        <v>13</v>
      </c>
      <c r="E15" s="110" t="s">
        <v>13</v>
      </c>
      <c r="F15" s="110" t="s">
        <v>13</v>
      </c>
      <c r="G15" s="110" t="s">
        <v>13</v>
      </c>
      <c r="H15" s="110" t="s">
        <v>13</v>
      </c>
      <c r="I15" s="109" t="s">
        <v>136</v>
      </c>
      <c r="J15" s="109" t="s">
        <v>136</v>
      </c>
      <c r="K15" s="109" t="s">
        <v>136</v>
      </c>
      <c r="L15" s="109" t="s">
        <v>136</v>
      </c>
      <c r="M15" s="109" t="s">
        <v>136</v>
      </c>
      <c r="N15" s="109" t="s">
        <v>136</v>
      </c>
    </row>
    <row r="16" customFormat="false" ht="15" hidden="false" customHeight="true" outlineLevel="0" collapsed="false">
      <c r="A16" s="10" t="s">
        <v>146</v>
      </c>
      <c r="B16" s="12" t="n">
        <v>-6.99</v>
      </c>
      <c r="C16" s="110" t="s">
        <v>13</v>
      </c>
      <c r="D16" s="110" t="s">
        <v>13</v>
      </c>
      <c r="E16" s="110" t="s">
        <v>13</v>
      </c>
      <c r="F16" s="110" t="s">
        <v>13</v>
      </c>
      <c r="G16" s="110" t="s">
        <v>13</v>
      </c>
      <c r="H16" s="110" t="s">
        <v>13</v>
      </c>
      <c r="I16" s="109" t="s">
        <v>136</v>
      </c>
      <c r="J16" s="109" t="s">
        <v>136</v>
      </c>
      <c r="K16" s="109" t="s">
        <v>136</v>
      </c>
      <c r="L16" s="109" t="s">
        <v>136</v>
      </c>
      <c r="M16" s="109" t="s">
        <v>136</v>
      </c>
      <c r="N16" s="109" t="s">
        <v>136</v>
      </c>
    </row>
    <row r="17" customFormat="false" ht="15" hidden="false" customHeight="true" outlineLevel="0" collapsed="false">
      <c r="A17" s="5" t="s">
        <v>147</v>
      </c>
      <c r="B17" s="7" t="n">
        <v>-8.99</v>
      </c>
      <c r="C17" s="110" t="s">
        <v>13</v>
      </c>
      <c r="D17" s="109" t="s">
        <v>136</v>
      </c>
      <c r="E17" s="109" t="s">
        <v>136</v>
      </c>
      <c r="F17" s="109" t="s">
        <v>136</v>
      </c>
      <c r="G17" s="109" t="s">
        <v>136</v>
      </c>
      <c r="H17" s="109" t="s">
        <v>136</v>
      </c>
      <c r="I17" s="110" t="s">
        <v>13</v>
      </c>
      <c r="J17" s="109" t="s">
        <v>136</v>
      </c>
      <c r="K17" s="109" t="s">
        <v>136</v>
      </c>
      <c r="L17" s="109" t="s">
        <v>136</v>
      </c>
      <c r="M17" s="110" t="s">
        <v>13</v>
      </c>
      <c r="N17" s="110" t="s">
        <v>13</v>
      </c>
    </row>
    <row r="18" customFormat="false" ht="15" hidden="false" customHeight="true" outlineLevel="0" collapsed="false">
      <c r="A18" s="10" t="s">
        <v>148</v>
      </c>
      <c r="B18" s="12" t="n">
        <v>-20</v>
      </c>
      <c r="C18" s="110" t="s">
        <v>13</v>
      </c>
      <c r="D18" s="110" t="s">
        <v>13</v>
      </c>
      <c r="E18" s="109" t="s">
        <v>136</v>
      </c>
      <c r="F18" s="110" t="s">
        <v>13</v>
      </c>
      <c r="G18" s="110" t="s">
        <v>13</v>
      </c>
      <c r="H18" s="110" t="s">
        <v>13</v>
      </c>
      <c r="I18" s="110" t="s">
        <v>13</v>
      </c>
      <c r="J18" s="110" t="s">
        <v>13</v>
      </c>
      <c r="K18" s="110" t="s">
        <v>13</v>
      </c>
      <c r="L18" s="110" t="s">
        <v>13</v>
      </c>
      <c r="M18" s="110" t="s">
        <v>13</v>
      </c>
      <c r="N18" s="110" t="s">
        <v>13</v>
      </c>
    </row>
    <row r="19" customFormat="false" ht="15" hidden="false" customHeight="true" outlineLevel="0" collapsed="false">
      <c r="A19" s="5" t="s">
        <v>149</v>
      </c>
      <c r="B19" s="7" t="n">
        <v>-76.67</v>
      </c>
      <c r="C19" s="110" t="s">
        <v>13</v>
      </c>
      <c r="D19" s="110" t="s">
        <v>13</v>
      </c>
      <c r="E19" s="109" t="s">
        <v>136</v>
      </c>
      <c r="F19" s="110" t="s">
        <v>13</v>
      </c>
      <c r="G19" s="110" t="s">
        <v>13</v>
      </c>
      <c r="H19" s="109" t="s">
        <v>136</v>
      </c>
      <c r="I19" s="110" t="s">
        <v>13</v>
      </c>
      <c r="J19" s="109" t="s">
        <v>136</v>
      </c>
      <c r="K19" s="110" t="s">
        <v>13</v>
      </c>
      <c r="L19" s="110" t="s">
        <v>13</v>
      </c>
      <c r="M19" s="109" t="s">
        <v>136</v>
      </c>
      <c r="N19" s="110" t="s">
        <v>13</v>
      </c>
    </row>
    <row r="20" customFormat="false" ht="15" hidden="false" customHeight="true" outlineLevel="0" collapsed="false">
      <c r="A20" s="10" t="s">
        <v>48</v>
      </c>
      <c r="B20" s="12" t="n">
        <v>-9.99</v>
      </c>
      <c r="C20" s="110" t="s">
        <v>13</v>
      </c>
      <c r="D20" s="110" t="s">
        <v>13</v>
      </c>
      <c r="E20" s="110" t="s">
        <v>13</v>
      </c>
      <c r="F20" s="110" t="s">
        <v>13</v>
      </c>
      <c r="G20" s="110" t="s">
        <v>13</v>
      </c>
      <c r="H20" s="110" t="s">
        <v>13</v>
      </c>
      <c r="I20" s="109" t="s">
        <v>136</v>
      </c>
      <c r="J20" s="109" t="s">
        <v>136</v>
      </c>
      <c r="K20" s="109" t="s">
        <v>136</v>
      </c>
      <c r="L20" s="109" t="s">
        <v>136</v>
      </c>
      <c r="M20" s="109" t="s">
        <v>136</v>
      </c>
      <c r="N20" s="109" t="s">
        <v>136</v>
      </c>
    </row>
    <row r="21" customFormat="false" ht="15" hidden="false" customHeight="true" outlineLevel="0" collapsed="false">
      <c r="A21" s="111" t="s">
        <v>150</v>
      </c>
      <c r="B21" s="112" t="n">
        <v>-700</v>
      </c>
      <c r="C21" s="113" t="s">
        <v>151</v>
      </c>
      <c r="D21" s="113" t="s">
        <v>151</v>
      </c>
      <c r="E21" s="113" t="s">
        <v>151</v>
      </c>
      <c r="F21" s="113" t="s">
        <v>151</v>
      </c>
      <c r="G21" s="113" t="s">
        <v>151</v>
      </c>
      <c r="H21" s="113" t="s">
        <v>151</v>
      </c>
      <c r="I21" s="113" t="s">
        <v>151</v>
      </c>
      <c r="J21" s="113" t="s">
        <v>151</v>
      </c>
      <c r="K21" s="113" t="s">
        <v>151</v>
      </c>
      <c r="L21" s="113" t="s">
        <v>151</v>
      </c>
      <c r="M21" s="113" t="s">
        <v>151</v>
      </c>
      <c r="N21" s="113" t="s">
        <v>151</v>
      </c>
    </row>
    <row r="22" customFormat="false" ht="15" hidden="false" customHeight="true" outlineLevel="0" collapsed="false">
      <c r="A22" s="114" t="s">
        <v>152</v>
      </c>
      <c r="B22" s="115" t="n">
        <f aca="false">SUM(B4:B21)</f>
        <v>-3917.37</v>
      </c>
      <c r="C22" s="116" t="n">
        <f aca="false">SUMIF(C4:C21,"SI",B4:B21)</f>
        <v>-2279.78</v>
      </c>
      <c r="D22" s="116" t="n">
        <f aca="false">SUMIF(D4:D21,"SI",B4:B21)</f>
        <v>-2313.76</v>
      </c>
      <c r="E22" s="116" t="n">
        <f aca="false">SUMIF(E4:E21,"SI",B4:B21)</f>
        <v>-3153.39</v>
      </c>
      <c r="F22" s="116" t="n">
        <f aca="false">SUMIF(F4:F21,"SI",B4:B21)</f>
        <v>-3056.72</v>
      </c>
      <c r="G22" s="116" t="n">
        <f aca="false">SUMIF(G4:G21,"SI",B4:B21)</f>
        <v>-3056.72</v>
      </c>
      <c r="H22" s="116" t="n">
        <f aca="false">SUMIF(H4:H21,"SI",B4:B21)</f>
        <v>-3108.4</v>
      </c>
      <c r="I22" s="116" t="n">
        <f aca="false">SUMIF(I4:I21,"SI",B4:B21)</f>
        <v>-3111.71</v>
      </c>
      <c r="J22" s="116" t="n">
        <f aca="false">SUMIF(J4:J21,"SI",B4:B21)</f>
        <v>-3197.37</v>
      </c>
      <c r="K22" s="116" t="n">
        <f aca="false">SUMIF(K4:K21,"SI",B4:B21)</f>
        <v>-3120.7</v>
      </c>
      <c r="L22" s="116" t="n">
        <f aca="false">SUMIF(L4:L21,"SI",B4:B21)</f>
        <v>-3120.7</v>
      </c>
      <c r="M22" s="116" t="n">
        <f aca="false">SUMIF(M4:M21,"SI",B4:B21)</f>
        <v>-3188.38</v>
      </c>
      <c r="N22" s="116" t="n">
        <f aca="false">SUMIF(N4:N21,"SI",B4:B21)</f>
        <v>-3111.71</v>
      </c>
    </row>
    <row r="23" customFormat="false" ht="15" hidden="false" customHeight="true" outlineLevel="0" collapsed="false"/>
    <row r="24" customFormat="false" ht="21.75" hidden="false" customHeight="true" outlineLevel="0" collapsed="false"/>
    <row r="25" customFormat="false" ht="15" hidden="false" customHeight="true" outlineLevel="0" collapsed="false"/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60"/>
  </cols>
  <sheetData>
    <row r="1" customFormat="false" ht="30" hidden="false" customHeight="true" outlineLevel="0" collapsed="false">
      <c r="A1" s="107" t="s">
        <v>153</v>
      </c>
      <c r="B1" s="107"/>
      <c r="C1" s="107"/>
    </row>
    <row r="2" customFormat="false" ht="18" hidden="false" customHeight="true" outlineLevel="0" collapsed="false">
      <c r="A2" s="117" t="s">
        <v>154</v>
      </c>
      <c r="B2" s="117"/>
      <c r="C2" s="117"/>
    </row>
    <row r="3" customFormat="false" ht="36" hidden="false" customHeight="true" outlineLevel="0" collapsed="false">
      <c r="A3" s="118" t="s">
        <v>155</v>
      </c>
      <c r="B3" s="119" t="s">
        <v>156</v>
      </c>
      <c r="C3" s="120" t="s">
        <v>157</v>
      </c>
    </row>
    <row r="4" customFormat="false" ht="36" hidden="false" customHeight="true" outlineLevel="0" collapsed="false">
      <c r="A4" s="118" t="s">
        <v>158</v>
      </c>
      <c r="B4" s="121" t="s">
        <v>159</v>
      </c>
      <c r="C4" s="122" t="s">
        <v>160</v>
      </c>
    </row>
    <row r="5" customFormat="false" ht="36" hidden="false" customHeight="true" outlineLevel="0" collapsed="false">
      <c r="A5" s="118" t="s">
        <v>161</v>
      </c>
      <c r="B5" s="119" t="s">
        <v>162</v>
      </c>
      <c r="C5" s="120" t="s">
        <v>163</v>
      </c>
    </row>
    <row r="6" customFormat="false" ht="36" hidden="false" customHeight="true" outlineLevel="0" collapsed="false">
      <c r="A6" s="118" t="s">
        <v>164</v>
      </c>
      <c r="B6" s="121" t="s">
        <v>165</v>
      </c>
      <c r="C6" s="122" t="s">
        <v>166</v>
      </c>
    </row>
    <row r="7" customFormat="false" ht="36" hidden="false" customHeight="true" outlineLevel="0" collapsed="false">
      <c r="A7" s="118" t="s">
        <v>167</v>
      </c>
      <c r="B7" s="119" t="s">
        <v>168</v>
      </c>
      <c r="C7" s="120" t="s">
        <v>169</v>
      </c>
    </row>
    <row r="8" customFormat="false" ht="36" hidden="false" customHeight="true" outlineLevel="0" collapsed="false">
      <c r="A8" s="118" t="s">
        <v>170</v>
      </c>
      <c r="B8" s="121" t="s">
        <v>171</v>
      </c>
      <c r="C8" s="122" t="s">
        <v>172</v>
      </c>
    </row>
    <row r="9" customFormat="false" ht="36" hidden="false" customHeight="true" outlineLevel="0" collapsed="false">
      <c r="A9" s="118" t="s">
        <v>173</v>
      </c>
      <c r="B9" s="119" t="s">
        <v>174</v>
      </c>
      <c r="C9" s="120" t="s">
        <v>175</v>
      </c>
    </row>
    <row r="11" customFormat="false" ht="21.75" hidden="false" customHeight="true" outlineLevel="0" collapsed="false">
      <c r="A11" s="123" t="s">
        <v>176</v>
      </c>
      <c r="B11" s="123"/>
      <c r="C11" s="123"/>
    </row>
    <row r="12" customFormat="false" ht="15" hidden="false" customHeight="true" outlineLevel="0" collapsed="false">
      <c r="A12" s="124" t="s">
        <v>177</v>
      </c>
      <c r="B12" s="124"/>
      <c r="C12" s="124"/>
    </row>
    <row r="13" customFormat="false" ht="15" hidden="false" customHeight="true" outlineLevel="0" collapsed="false">
      <c r="A13" s="124" t="s">
        <v>178</v>
      </c>
      <c r="B13" s="124"/>
      <c r="C13" s="124"/>
    </row>
    <row r="14" customFormat="false" ht="15" hidden="false" customHeight="true" outlineLevel="0" collapsed="false">
      <c r="A14" s="124" t="s">
        <v>179</v>
      </c>
      <c r="B14" s="124"/>
      <c r="C14" s="124"/>
    </row>
    <row r="15" customFormat="false" ht="15" hidden="false" customHeight="true" outlineLevel="0" collapsed="false">
      <c r="A15" s="124" t="s">
        <v>180</v>
      </c>
      <c r="B15" s="124"/>
      <c r="C15" s="124"/>
    </row>
    <row r="16" customFormat="false" ht="15" hidden="false" customHeight="true" outlineLevel="0" collapsed="false">
      <c r="A16" s="124" t="s">
        <v>181</v>
      </c>
      <c r="B16" s="124"/>
      <c r="C16" s="124"/>
    </row>
    <row r="17" customFormat="false" ht="15" hidden="false" customHeight="true" outlineLevel="0" collapsed="false">
      <c r="A17" s="124" t="s">
        <v>182</v>
      </c>
      <c r="B17" s="124"/>
      <c r="C17" s="124"/>
    </row>
    <row r="18" customFormat="false" ht="15" hidden="false" customHeight="true" outlineLevel="0" collapsed="false">
      <c r="A18" s="124" t="s">
        <v>183</v>
      </c>
      <c r="B18" s="124"/>
      <c r="C18" s="124"/>
    </row>
    <row r="19" customFormat="false" ht="15" hidden="false" customHeight="true" outlineLevel="0" collapsed="false">
      <c r="A19" s="124" t="s">
        <v>184</v>
      </c>
      <c r="B19" s="124"/>
      <c r="C19" s="124"/>
    </row>
    <row r="20" customFormat="false" ht="15" hidden="false" customHeight="true" outlineLevel="0" collapsed="false">
      <c r="A20" s="124" t="s">
        <v>185</v>
      </c>
      <c r="B20" s="124"/>
      <c r="C20" s="124"/>
    </row>
    <row r="21" customFormat="false" ht="15" hidden="false" customHeight="true" outlineLevel="0" collapsed="false">
      <c r="A21" s="124"/>
      <c r="B21" s="124"/>
      <c r="C21" s="124"/>
    </row>
    <row r="22" customFormat="false" ht="15" hidden="false" customHeight="true" outlineLevel="0" collapsed="false">
      <c r="A22" s="124" t="s">
        <v>186</v>
      </c>
      <c r="B22" s="124"/>
      <c r="C22" s="124"/>
    </row>
    <row r="23" customFormat="false" ht="15" hidden="false" customHeight="true" outlineLevel="0" collapsed="false">
      <c r="A23" s="124" t="s">
        <v>187</v>
      </c>
      <c r="B23" s="124"/>
      <c r="C23" s="124"/>
    </row>
    <row r="24" customFormat="false" ht="15" hidden="false" customHeight="true" outlineLevel="0" collapsed="false">
      <c r="A24" s="124" t="s">
        <v>188</v>
      </c>
      <c r="B24" s="124"/>
      <c r="C24" s="124"/>
    </row>
    <row r="25" customFormat="false" ht="15" hidden="false" customHeight="true" outlineLevel="0" collapsed="false">
      <c r="A25" s="124" t="s">
        <v>189</v>
      </c>
      <c r="B25" s="124"/>
      <c r="C25" s="124"/>
    </row>
    <row r="26" customFormat="false" ht="15" hidden="false" customHeight="true" outlineLevel="0" collapsed="false">
      <c r="A26" s="124" t="s">
        <v>190</v>
      </c>
      <c r="B26" s="124"/>
      <c r="C26" s="124"/>
    </row>
    <row r="27" customFormat="false" ht="15" hidden="false" customHeight="true" outlineLevel="0" collapsed="false">
      <c r="A27" s="124" t="s">
        <v>191</v>
      </c>
      <c r="B27" s="124"/>
      <c r="C27" s="124"/>
    </row>
    <row r="28" customFormat="false" ht="15" hidden="false" customHeight="true" outlineLevel="0" collapsed="false">
      <c r="A28" s="124" t="s">
        <v>192</v>
      </c>
      <c r="B28" s="124"/>
      <c r="C28" s="124"/>
    </row>
    <row r="29" customFormat="false" ht="15" hidden="false" customHeight="true" outlineLevel="0" collapsed="false">
      <c r="A29" s="124"/>
      <c r="B29" s="124"/>
      <c r="C29" s="124"/>
    </row>
    <row r="30" customFormat="false" ht="15" hidden="false" customHeight="true" outlineLevel="0" collapsed="false">
      <c r="A30" s="124" t="s">
        <v>193</v>
      </c>
      <c r="B30" s="124"/>
      <c r="C30" s="124"/>
    </row>
    <row r="31" customFormat="false" ht="15" hidden="false" customHeight="true" outlineLevel="0" collapsed="false">
      <c r="A31" s="124" t="s">
        <v>194</v>
      </c>
      <c r="B31" s="124"/>
      <c r="C31" s="124"/>
    </row>
    <row r="32" customFormat="false" ht="15" hidden="false" customHeight="true" outlineLevel="0" collapsed="false">
      <c r="A32" s="124" t="s">
        <v>195</v>
      </c>
      <c r="B32" s="124"/>
      <c r="C32" s="124"/>
    </row>
    <row r="33" customFormat="false" ht="15" hidden="false" customHeight="true" outlineLevel="0" collapsed="false">
      <c r="A33" s="124" t="s">
        <v>196</v>
      </c>
      <c r="B33" s="124"/>
      <c r="C33" s="124"/>
    </row>
    <row r="34" customFormat="false" ht="15" hidden="false" customHeight="true" outlineLevel="0" collapsed="false">
      <c r="A34" s="124" t="s">
        <v>197</v>
      </c>
      <c r="B34" s="124"/>
      <c r="C34" s="124"/>
    </row>
    <row r="35" customFormat="false" ht="15" hidden="false" customHeight="true" outlineLevel="0" collapsed="false">
      <c r="A35" s="124" t="s">
        <v>198</v>
      </c>
      <c r="B35" s="124"/>
      <c r="C35" s="124"/>
    </row>
    <row r="36" customFormat="false" ht="15" hidden="false" customHeight="true" outlineLevel="0" collapsed="false">
      <c r="A36" s="124"/>
      <c r="B36" s="124"/>
      <c r="C36" s="124"/>
    </row>
    <row r="37" customFormat="false" ht="15" hidden="false" customHeight="true" outlineLevel="0" collapsed="false">
      <c r="A37" s="124" t="s">
        <v>199</v>
      </c>
      <c r="B37" s="124"/>
      <c r="C37" s="124"/>
    </row>
    <row r="38" customFormat="false" ht="15" hidden="false" customHeight="true" outlineLevel="0" collapsed="false">
      <c r="A38" s="124"/>
      <c r="B38" s="124"/>
      <c r="C38" s="124"/>
    </row>
    <row r="39" customFormat="false" ht="15" hidden="false" customHeight="true" outlineLevel="0" collapsed="false">
      <c r="A39" s="124" t="s">
        <v>200</v>
      </c>
      <c r="B39" s="124"/>
      <c r="C39" s="124"/>
    </row>
    <row r="40" customFormat="false" ht="15" hidden="false" customHeight="true" outlineLevel="0" collapsed="false">
      <c r="A40" s="124" t="s">
        <v>201</v>
      </c>
      <c r="B40" s="124"/>
      <c r="C40" s="124"/>
    </row>
    <row r="41" customFormat="false" ht="15" hidden="false" customHeight="true" outlineLevel="0" collapsed="false">
      <c r="A41" s="124" t="s">
        <v>202</v>
      </c>
      <c r="B41" s="124"/>
      <c r="C41" s="124"/>
    </row>
    <row r="42" customFormat="false" ht="15" hidden="false" customHeight="true" outlineLevel="0" collapsed="false">
      <c r="A42" s="124" t="s">
        <v>203</v>
      </c>
      <c r="B42" s="124"/>
      <c r="C42" s="124"/>
    </row>
    <row r="43" customFormat="false" ht="15" hidden="false" customHeight="true" outlineLevel="0" collapsed="false">
      <c r="A43" s="124" t="s">
        <v>204</v>
      </c>
      <c r="B43" s="124"/>
      <c r="C43" s="124"/>
    </row>
    <row r="44" customFormat="false" ht="15" hidden="false" customHeight="true" outlineLevel="0" collapsed="false">
      <c r="A44" s="124" t="s">
        <v>205</v>
      </c>
      <c r="B44" s="124"/>
      <c r="C44" s="124"/>
    </row>
    <row r="45" customFormat="false" ht="15" hidden="false" customHeight="true" outlineLevel="0" collapsed="false">
      <c r="A45" s="124"/>
      <c r="B45" s="124"/>
      <c r="C45" s="124"/>
    </row>
    <row r="46" customFormat="false" ht="15" hidden="false" customHeight="true" outlineLevel="0" collapsed="false">
      <c r="A46" s="124" t="s">
        <v>206</v>
      </c>
      <c r="B46" s="124"/>
      <c r="C46" s="124"/>
    </row>
    <row r="47" customFormat="false" ht="15" hidden="false" customHeight="true" outlineLevel="0" collapsed="false">
      <c r="A47" s="124" t="s">
        <v>207</v>
      </c>
      <c r="B47" s="124"/>
      <c r="C47" s="124"/>
    </row>
  </sheetData>
  <mergeCells count="39">
    <mergeCell ref="A1:C1"/>
    <mergeCell ref="A2:C2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4" min="2" style="1" width="12"/>
  </cols>
  <sheetData>
    <row r="1" customFormat="false" ht="30" hidden="false" customHeight="true" outlineLevel="0" collapsed="false">
      <c r="A1" s="125" t="s">
        <v>208</v>
      </c>
    </row>
    <row r="2" customFormat="false" ht="15" hidden="false" customHeight="true" outlineLevel="0" collapsed="false">
      <c r="A2" s="126" t="s">
        <v>209</v>
      </c>
    </row>
    <row r="4" customFormat="false" ht="15" hidden="false" customHeight="true" outlineLevel="0" collapsed="false">
      <c r="A4" s="127" t="s">
        <v>210</v>
      </c>
    </row>
    <row r="5" customFormat="false" ht="23.25" hidden="false" customHeight="true" outlineLevel="0" collapsed="false">
      <c r="A5" s="23" t="s">
        <v>211</v>
      </c>
      <c r="B5" s="23" t="s">
        <v>212</v>
      </c>
      <c r="C5" s="23" t="s">
        <v>100</v>
      </c>
      <c r="D5" s="23" t="s">
        <v>213</v>
      </c>
    </row>
    <row r="6" customFormat="false" ht="18" hidden="false" customHeight="true" outlineLevel="0" collapsed="false">
      <c r="A6" s="128" t="s">
        <v>135</v>
      </c>
      <c r="B6" s="129" t="n">
        <v>8499.96</v>
      </c>
      <c r="C6" s="129" t="n">
        <v>708.33</v>
      </c>
      <c r="D6" s="130" t="n">
        <v>0</v>
      </c>
    </row>
    <row r="7" customFormat="false" ht="18" hidden="false" customHeight="true" outlineLevel="0" collapsed="false">
      <c r="A7" s="128" t="s">
        <v>137</v>
      </c>
      <c r="B7" s="129" t="n">
        <v>2636.1</v>
      </c>
      <c r="C7" s="129" t="n">
        <v>146.45</v>
      </c>
      <c r="D7" s="130" t="n">
        <v>0</v>
      </c>
    </row>
    <row r="8" customFormat="false" ht="18" hidden="false" customHeight="true" outlineLevel="0" collapsed="false">
      <c r="A8" s="128" t="s">
        <v>140</v>
      </c>
      <c r="B8" s="129" t="n">
        <v>11943.36</v>
      </c>
      <c r="C8" s="129" t="n">
        <v>497.64</v>
      </c>
      <c r="D8" s="130" t="n">
        <v>0</v>
      </c>
    </row>
    <row r="9" customFormat="false" ht="18" hidden="false" customHeight="true" outlineLevel="0" collapsed="false">
      <c r="A9" s="128" t="s">
        <v>141</v>
      </c>
      <c r="B9" s="129" t="n">
        <v>5887.68</v>
      </c>
      <c r="C9" s="129" t="n">
        <v>245.32</v>
      </c>
      <c r="D9" s="130" t="n">
        <v>0</v>
      </c>
    </row>
    <row r="10" customFormat="false" ht="18" hidden="false" customHeight="true" outlineLevel="0" collapsed="false">
      <c r="A10" s="128" t="s">
        <v>150</v>
      </c>
      <c r="B10" s="129" t="n">
        <v>150000</v>
      </c>
      <c r="C10" s="129" t="n">
        <v>700</v>
      </c>
      <c r="D10" s="130" t="n">
        <v>2.5</v>
      </c>
    </row>
    <row r="11" customFormat="false" ht="18" hidden="false" customHeight="true" outlineLevel="0" collapsed="false">
      <c r="A11" s="127" t="s">
        <v>214</v>
      </c>
    </row>
    <row r="12" customFormat="false" ht="18" hidden="false" customHeight="true" outlineLevel="0" collapsed="false">
      <c r="A12" s="23" t="s">
        <v>211</v>
      </c>
      <c r="B12" s="23" t="s">
        <v>76</v>
      </c>
      <c r="C12" s="23" t="s">
        <v>77</v>
      </c>
      <c r="D12" s="23" t="s">
        <v>78</v>
      </c>
      <c r="E12" s="23" t="s">
        <v>79</v>
      </c>
      <c r="F12" s="23" t="s">
        <v>80</v>
      </c>
      <c r="G12" s="23" t="s">
        <v>52</v>
      </c>
      <c r="H12" s="23" t="s">
        <v>53</v>
      </c>
      <c r="I12" s="23" t="s">
        <v>54</v>
      </c>
      <c r="J12" s="23" t="s">
        <v>55</v>
      </c>
      <c r="K12" s="23" t="s">
        <v>56</v>
      </c>
      <c r="L12" s="23" t="s">
        <v>57</v>
      </c>
      <c r="M12" s="23" t="s">
        <v>58</v>
      </c>
      <c r="N12" s="23" t="s">
        <v>215</v>
      </c>
    </row>
    <row r="13" customFormat="false" ht="18" hidden="false" customHeight="true" outlineLevel="0" collapsed="false">
      <c r="A13" s="131" t="s">
        <v>135</v>
      </c>
      <c r="B13" s="129" t="n">
        <v>7791.63</v>
      </c>
      <c r="C13" s="132" t="n">
        <f aca="false">MAX(0,B13-$C$6)</f>
        <v>7083.3</v>
      </c>
      <c r="D13" s="132" t="n">
        <f aca="false">MAX(0,C13-$C$6)</f>
        <v>6374.97</v>
      </c>
      <c r="E13" s="132" t="n">
        <f aca="false">MAX(0,D13-$C$6)</f>
        <v>5666.64</v>
      </c>
      <c r="F13" s="132" t="n">
        <f aca="false">MAX(0,E13-$C$6)</f>
        <v>4958.31</v>
      </c>
      <c r="G13" s="132" t="n">
        <f aca="false">MAX(0,F13-$C$6)</f>
        <v>4249.98</v>
      </c>
      <c r="H13" s="132" t="n">
        <f aca="false">MAX(0,G13-$C$6)</f>
        <v>3541.65</v>
      </c>
      <c r="I13" s="132" t="n">
        <f aca="false">MAX(0,H13-$C$6)</f>
        <v>2833.32</v>
      </c>
      <c r="J13" s="132" t="n">
        <f aca="false">MAX(0,I13-$C$6)</f>
        <v>2124.99</v>
      </c>
      <c r="K13" s="132" t="n">
        <f aca="false">MAX(0,J13-$C$6)</f>
        <v>1416.66</v>
      </c>
      <c r="L13" s="132" t="n">
        <f aca="false">MAX(0,K13-$C$6)</f>
        <v>708.330000000001</v>
      </c>
      <c r="M13" s="132" t="n">
        <f aca="false">MAX(0,L13-$C$6)</f>
        <v>0</v>
      </c>
      <c r="N13" s="132" t="n">
        <f aca="false">MAX(0,M13-$C$6)</f>
        <v>0</v>
      </c>
    </row>
    <row r="14" customFormat="false" ht="15" hidden="false" customHeight="true" outlineLevel="0" collapsed="false">
      <c r="A14" s="133" t="s">
        <v>137</v>
      </c>
      <c r="C14" s="134" t="n">
        <f aca="false">MAX(0,B14-$C$7)</f>
        <v>0</v>
      </c>
      <c r="D14" s="134" t="n">
        <f aca="false">MAX(0,C14-$C$7)</f>
        <v>0</v>
      </c>
      <c r="E14" s="134" t="n">
        <f aca="false">MAX(0,D14-$C$7)</f>
        <v>0</v>
      </c>
      <c r="F14" s="134" t="n">
        <f aca="false">MAX(0,E14-$C$7)</f>
        <v>0</v>
      </c>
      <c r="G14" s="134" t="n">
        <f aca="false">MAX(0,F14-$C$7)</f>
        <v>0</v>
      </c>
      <c r="H14" s="134" t="n">
        <f aca="false">MAX(0,G14-$C$7)</f>
        <v>0</v>
      </c>
      <c r="I14" s="134" t="n">
        <f aca="false">MAX(0,H14-$C$7)</f>
        <v>0</v>
      </c>
      <c r="J14" s="134" t="n">
        <f aca="false">MAX(0,I14-$C$7)</f>
        <v>0</v>
      </c>
      <c r="K14" s="134" t="n">
        <f aca="false">MAX(0,J14-$C$7)</f>
        <v>0</v>
      </c>
      <c r="L14" s="134" t="n">
        <f aca="false">MAX(0,K14-$C$7)</f>
        <v>0</v>
      </c>
      <c r="M14" s="134" t="n">
        <f aca="false">MAX(0,L14-$C$7)</f>
        <v>0</v>
      </c>
      <c r="N14" s="134" t="n">
        <f aca="false">MAX(0,M14-$C$7)</f>
        <v>0</v>
      </c>
    </row>
    <row r="15" customFormat="false" ht="15" hidden="false" customHeight="true" outlineLevel="0" collapsed="false">
      <c r="A15" s="131" t="s">
        <v>140</v>
      </c>
      <c r="B15" s="129" t="n">
        <v>11445.72</v>
      </c>
      <c r="C15" s="132" t="n">
        <f aca="false">MAX(0,B15-$C$8)</f>
        <v>10948.08</v>
      </c>
      <c r="D15" s="132" t="n">
        <f aca="false">MAX(0,C15-$C$8)</f>
        <v>10450.44</v>
      </c>
      <c r="E15" s="132" t="n">
        <f aca="false">MAX(0,D15-$C$8)</f>
        <v>9952.8</v>
      </c>
      <c r="F15" s="132" t="n">
        <f aca="false">MAX(0,E15-$C$8)</f>
        <v>9455.16</v>
      </c>
      <c r="G15" s="132" t="n">
        <f aca="false">MAX(0,F15-$C$8)</f>
        <v>8957.52</v>
      </c>
      <c r="H15" s="132" t="n">
        <f aca="false">MAX(0,G15-$C$8)</f>
        <v>8459.88</v>
      </c>
      <c r="I15" s="132" t="n">
        <f aca="false">MAX(0,H15-$C$8)</f>
        <v>7962.24</v>
      </c>
      <c r="J15" s="132" t="n">
        <f aca="false">MAX(0,I15-$C$8)</f>
        <v>7464.6</v>
      </c>
      <c r="K15" s="132" t="n">
        <f aca="false">MAX(0,J15-$C$8)</f>
        <v>6966.96</v>
      </c>
      <c r="L15" s="132" t="n">
        <f aca="false">MAX(0,K15-$C$8)</f>
        <v>6469.32</v>
      </c>
      <c r="M15" s="132" t="n">
        <f aca="false">MAX(0,L15-$C$8)</f>
        <v>5971.68</v>
      </c>
      <c r="N15" s="132" t="n">
        <f aca="false">MAX(0,M15-$C$8)</f>
        <v>5474.04</v>
      </c>
    </row>
    <row r="16" customFormat="false" ht="18" hidden="false" customHeight="true" outlineLevel="0" collapsed="false">
      <c r="A16" s="133" t="s">
        <v>141</v>
      </c>
      <c r="B16" s="129" t="n">
        <v>5642.36</v>
      </c>
      <c r="C16" s="135" t="n">
        <f aca="false">MAX(0,B16-$C$9)</f>
        <v>5397.04</v>
      </c>
      <c r="D16" s="135" t="n">
        <f aca="false">MAX(0,C16-$C$9)</f>
        <v>5151.72</v>
      </c>
      <c r="E16" s="135" t="n">
        <f aca="false">MAX(0,D16-$C$9)</f>
        <v>4906.4</v>
      </c>
      <c r="F16" s="135" t="n">
        <f aca="false">MAX(0,E16-$C$9)</f>
        <v>4661.08</v>
      </c>
      <c r="G16" s="135" t="n">
        <f aca="false">MAX(0,F16-$C$9)</f>
        <v>4415.76</v>
      </c>
      <c r="H16" s="135" t="n">
        <f aca="false">MAX(0,G16-$C$9)</f>
        <v>4170.44</v>
      </c>
      <c r="I16" s="135" t="n">
        <f aca="false">MAX(0,H16-$C$9)</f>
        <v>3925.12</v>
      </c>
      <c r="J16" s="135" t="n">
        <f aca="false">MAX(0,I16-$C$9)</f>
        <v>3679.8</v>
      </c>
      <c r="K16" s="135" t="n">
        <f aca="false">MAX(0,J16-$C$9)</f>
        <v>3434.48</v>
      </c>
      <c r="L16" s="135" t="n">
        <f aca="false">MAX(0,K16-$C$9)</f>
        <v>3189.16</v>
      </c>
      <c r="M16" s="135" t="n">
        <f aca="false">MAX(0,L16-$C$9)</f>
        <v>2943.84</v>
      </c>
      <c r="N16" s="135" t="n">
        <f aca="false">MAX(0,M16-$C$9)</f>
        <v>2698.52</v>
      </c>
    </row>
    <row r="17" customFormat="false" ht="18" hidden="false" customHeight="true" outlineLevel="0" collapsed="false">
      <c r="A17" s="133" t="s">
        <v>150</v>
      </c>
      <c r="B17" s="129" t="n">
        <v>149300</v>
      </c>
      <c r="C17" s="135" t="n">
        <f aca="false">MAX(0,B17-$C$10)</f>
        <v>148600</v>
      </c>
      <c r="D17" s="135" t="n">
        <f aca="false">MAX(0,C17-$C$10)</f>
        <v>147900</v>
      </c>
      <c r="E17" s="135" t="n">
        <f aca="false">MAX(0,D17-$C$10)</f>
        <v>147200</v>
      </c>
      <c r="F17" s="135" t="n">
        <f aca="false">MAX(0,E17-$C$10)</f>
        <v>146500</v>
      </c>
      <c r="G17" s="135" t="n">
        <f aca="false">MAX(0,F17-$C$10)</f>
        <v>145800</v>
      </c>
      <c r="H17" s="135" t="n">
        <f aca="false">MAX(0,G17-$C$10)</f>
        <v>145100</v>
      </c>
      <c r="I17" s="135" t="n">
        <f aca="false">MAX(0,H17-$C$10)</f>
        <v>144400</v>
      </c>
      <c r="J17" s="135" t="n">
        <f aca="false">MAX(0,I17-$C$10)</f>
        <v>143700</v>
      </c>
      <c r="K17" s="135" t="n">
        <f aca="false">MAX(0,J17-$C$10)</f>
        <v>143000</v>
      </c>
      <c r="L17" s="135" t="n">
        <f aca="false">MAX(0,K17-$C$10)</f>
        <v>142300</v>
      </c>
      <c r="M17" s="135" t="n">
        <f aca="false">MAX(0,L17-$C$10)</f>
        <v>141600</v>
      </c>
      <c r="N17" s="135" t="n">
        <f aca="false">MAX(0,M17-$C$10)</f>
        <v>140900</v>
      </c>
    </row>
    <row r="18" customFormat="false" ht="18" hidden="false" customHeight="true" outlineLevel="0" collapsed="false">
      <c r="A18" s="23" t="s">
        <v>216</v>
      </c>
      <c r="B18" s="116" t="n">
        <f aca="false">SUM(B13:B17)</f>
        <v>174179.71</v>
      </c>
      <c r="C18" s="116" t="n">
        <f aca="false">SUM(C13:C17)</f>
        <v>172028.42</v>
      </c>
      <c r="D18" s="116" t="n">
        <f aca="false">SUM(D13:D17)</f>
        <v>169877.13</v>
      </c>
      <c r="E18" s="116" t="n">
        <f aca="false">SUM(E13:E17)</f>
        <v>167725.84</v>
      </c>
      <c r="F18" s="116" t="n">
        <f aca="false">SUM(F13:F17)</f>
        <v>165574.55</v>
      </c>
      <c r="G18" s="116" t="n">
        <f aca="false">SUM(G13:G17)</f>
        <v>163423.26</v>
      </c>
      <c r="H18" s="116" t="n">
        <f aca="false">SUM(H13:H17)</f>
        <v>161271.97</v>
      </c>
      <c r="I18" s="116" t="n">
        <f aca="false">SUM(I13:I17)</f>
        <v>159120.68</v>
      </c>
      <c r="J18" s="116" t="n">
        <f aca="false">SUM(J13:J17)</f>
        <v>156969.39</v>
      </c>
      <c r="K18" s="116" t="n">
        <f aca="false">SUM(K13:K17)</f>
        <v>154818.1</v>
      </c>
      <c r="L18" s="116" t="n">
        <f aca="false">SUM(L13:L17)</f>
        <v>152666.81</v>
      </c>
      <c r="M18" s="116" t="n">
        <f aca="false">SUM(M13:M17)</f>
        <v>150515.52</v>
      </c>
      <c r="N18" s="116" t="n">
        <f aca="false">SUM(N13:N17)</f>
        <v>149072.56</v>
      </c>
    </row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2026-02-23T13:55:04Z</dcterms:created>
  <dc:creator>openpyxl</dc:creator>
  <dc:description/>
  <dc:language>en-US</dc:language>
  <cp:lastModifiedBy/>
  <dcterms:modified xsi:type="dcterms:W3CDTF">2026-02-23T14:41:13Z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